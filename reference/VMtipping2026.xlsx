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ilshau/Desktop/"/>
    </mc:Choice>
  </mc:AlternateContent>
  <xr:revisionPtr revIDLastSave="0" documentId="8_{4DAFA15D-6D21-0840-ABC7-F29988ACA667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Start Here" sheetId="1" r:id="rId1"/>
    <sheet name="Setup" sheetId="2" r:id="rId2"/>
    <sheet name="Group Stage" sheetId="3" r:id="rId3"/>
    <sheet name="Knockout" sheetId="4" r:id="rId4"/>
    <sheet name="Leaderboard" sheetId="5" r:id="rId5"/>
  </sheets>
  <definedNames>
    <definedName name="_xlnm.Print_Area" localSheetId="2">'Group Stage'!$A$1:$M$75</definedName>
    <definedName name="_xlnm.Print_Area" localSheetId="3">Knockout!$A$1:$I$84</definedName>
    <definedName name="Teams">Setup!$D$2:$D$49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5" l="1"/>
  <c r="G15" i="5"/>
  <c r="F15" i="5"/>
  <c r="E15" i="5"/>
  <c r="D15" i="5"/>
  <c r="C15" i="5"/>
  <c r="I15" i="5" s="1"/>
  <c r="B15" i="5"/>
  <c r="J15" i="5" s="1"/>
  <c r="A15" i="5"/>
  <c r="H14" i="5"/>
  <c r="G14" i="5"/>
  <c r="F14" i="5"/>
  <c r="E14" i="5"/>
  <c r="D14" i="5"/>
  <c r="C14" i="5"/>
  <c r="I14" i="5" s="1"/>
  <c r="B14" i="5"/>
  <c r="A14" i="5"/>
  <c r="I13" i="5"/>
  <c r="J13" i="5" s="1"/>
  <c r="H13" i="5"/>
  <c r="G13" i="5"/>
  <c r="F13" i="5"/>
  <c r="E13" i="5"/>
  <c r="D13" i="5"/>
  <c r="C13" i="5"/>
  <c r="B13" i="5"/>
  <c r="A13" i="5"/>
  <c r="H12" i="5"/>
  <c r="G12" i="5"/>
  <c r="F12" i="5"/>
  <c r="E12" i="5"/>
  <c r="D12" i="5"/>
  <c r="I12" i="5" s="1"/>
  <c r="J12" i="5" s="1"/>
  <c r="C12" i="5"/>
  <c r="B12" i="5"/>
  <c r="A12" i="5"/>
  <c r="H11" i="5"/>
  <c r="G11" i="5"/>
  <c r="F11" i="5"/>
  <c r="E11" i="5"/>
  <c r="D11" i="5"/>
  <c r="C11" i="5"/>
  <c r="I11" i="5" s="1"/>
  <c r="J11" i="5" s="1"/>
  <c r="B11" i="5"/>
  <c r="A11" i="5"/>
  <c r="H10" i="5"/>
  <c r="G10" i="5"/>
  <c r="F10" i="5"/>
  <c r="E10" i="5"/>
  <c r="D10" i="5"/>
  <c r="C10" i="5"/>
  <c r="I10" i="5" s="1"/>
  <c r="B10" i="5"/>
  <c r="J10" i="5" s="1"/>
  <c r="A10" i="5"/>
  <c r="H9" i="5"/>
  <c r="G9" i="5"/>
  <c r="F9" i="5"/>
  <c r="E9" i="5"/>
  <c r="D9" i="5"/>
  <c r="I9" i="5" s="1"/>
  <c r="C9" i="5"/>
  <c r="B9" i="5"/>
  <c r="J9" i="5" s="1"/>
  <c r="A9" i="5"/>
  <c r="H8" i="5"/>
  <c r="I8" i="5" s="1"/>
  <c r="J8" i="5" s="1"/>
  <c r="G8" i="5"/>
  <c r="F8" i="5"/>
  <c r="E8" i="5"/>
  <c r="D8" i="5"/>
  <c r="C8" i="5"/>
  <c r="B8" i="5"/>
  <c r="A8" i="5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J14" i="5" l="1"/>
  <c r="K14" i="5" s="1"/>
  <c r="K15" i="5" l="1"/>
  <c r="K8" i="5"/>
  <c r="K13" i="5"/>
  <c r="K10" i="5"/>
  <c r="K12" i="5"/>
  <c r="K9" i="5"/>
  <c r="K11" i="5"/>
</calcChain>
</file>

<file path=xl/sharedStrings.xml><?xml version="1.0" encoding="utf-8"?>
<sst xmlns="http://schemas.openxmlformats.org/spreadsheetml/2006/main" count="292" uniqueCount="122">
  <si>
    <t>WORLD CUP 2026 — FRIENDS PREDICTION LEAGUE</t>
  </si>
  <si>
    <t>HOW TO USE THIS WORKBOOK</t>
  </si>
  <si>
    <t>1.  Open the 'Setup' tab. Type your 8 players' names and the 48 team names (grouped A–L).</t>
  </si>
  <si>
    <t xml:space="preserve">     Everything else fills in and scores automatically.</t>
  </si>
  <si>
    <t>2.  GROUP STAGE tab — before the tournament, each player predicts the outcome of all 72 games.</t>
  </si>
  <si>
    <t xml:space="preserve">     Use the dropdown:  1 = first team wins,  X = draw,  2 = second team wins.</t>
  </si>
  <si>
    <t xml:space="preserve">     As real games finish, the admin fills the 'Result' column. 1 point per correct call.</t>
  </si>
  <si>
    <t>3.  KNOCKOUT tab — each player lists the teams they think reach each round (pick from the dropdown).</t>
  </si>
  <si>
    <t xml:space="preserve">     Round of 32 = 2 pts per correct team, Round of 16 = 3, Quarter-finals = 4, Semis = 5, Final = 6, and Champion (pick the winner) = 7.</t>
  </si>
  <si>
    <t xml:space="preserve">     The admin fills the 'Actual' column for each round as teams qualify.</t>
  </si>
  <si>
    <t>4.  LEADERBOARD tab — totals, breakdown and ranking update automatically. Nothing to fill in here</t>
  </si>
  <si>
    <t xml:space="preserve">     except the points values at the top, if you ever want to change the scoring.</t>
  </si>
  <si>
    <t>TO SHARE:  upload this file to Google Drive and open it with Google Sheets, then share the link</t>
  </si>
  <si>
    <t>with edit access to all 8 friends. (Dropdowns and formulas carry over.)</t>
  </si>
  <si>
    <t>TIP:  give each player their own column and ask them to lock in all picks before kick-off.</t>
  </si>
  <si>
    <t>PLAYERS</t>
  </si>
  <si>
    <t>GROUP</t>
  </si>
  <si>
    <t>TEAM</t>
  </si>
  <si>
    <t>Bendik</t>
  </si>
  <si>
    <t>A</t>
  </si>
  <si>
    <t>Mexico</t>
  </si>
  <si>
    <t>Erlend</t>
  </si>
  <si>
    <t>South Africa</t>
  </si>
  <si>
    <t>Ingvild</t>
  </si>
  <si>
    <t>South Korea</t>
  </si>
  <si>
    <t>Laila</t>
  </si>
  <si>
    <t>Czech Republic</t>
  </si>
  <si>
    <t>Marte</t>
  </si>
  <si>
    <t>B</t>
  </si>
  <si>
    <t>Canada</t>
  </si>
  <si>
    <t>Nils Erland</t>
  </si>
  <si>
    <t>Bosnia and Herzegovina</t>
  </si>
  <si>
    <t>Odd Gunnar</t>
  </si>
  <si>
    <t>Qatar</t>
  </si>
  <si>
    <t>Ragnhild</t>
  </si>
  <si>
    <t>Switzerland</t>
  </si>
  <si>
    <t>C</t>
  </si>
  <si>
    <t>Brazil</t>
  </si>
  <si>
    <t>Edit blue cells.</t>
  </si>
  <si>
    <t>Morocco</t>
  </si>
  <si>
    <t>Haiti</t>
  </si>
  <si>
    <t>Scotland</t>
  </si>
  <si>
    <t>D</t>
  </si>
  <si>
    <t>United States</t>
  </si>
  <si>
    <t>Paraguay</t>
  </si>
  <si>
    <t>Australia</t>
  </si>
  <si>
    <t>Turkey</t>
  </si>
  <si>
    <t>E</t>
  </si>
  <si>
    <t>Germany</t>
  </si>
  <si>
    <t>Curacao</t>
  </si>
  <si>
    <t>Ivory Coast</t>
  </si>
  <si>
    <t>Ecuador</t>
  </si>
  <si>
    <t>F</t>
  </si>
  <si>
    <t>Netherlands</t>
  </si>
  <si>
    <t>Japan</t>
  </si>
  <si>
    <t>Sweden</t>
  </si>
  <si>
    <t>Tunisia</t>
  </si>
  <si>
    <t>G</t>
  </si>
  <si>
    <t>Belgium</t>
  </si>
  <si>
    <t>Egypt</t>
  </si>
  <si>
    <t>Iran</t>
  </si>
  <si>
    <t>New Zealand</t>
  </si>
  <si>
    <t>H</t>
  </si>
  <si>
    <t>Spain</t>
  </si>
  <si>
    <t>Cape Verde</t>
  </si>
  <si>
    <t>Saudi Arabia</t>
  </si>
  <si>
    <t>Uruguay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</si>
  <si>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</si>
  <si>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</si>
  <si>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</si>
  <si>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</si>
  <si>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</si>
  <si>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</si>
  <si>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</si>
  <si>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</si>
  <si>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</si>
  <si>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</si>
  <si>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</si>
  <si>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</si>
  <si>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</si>
  <si>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Uzbekistan</t>
  </si>
  <si>
    <t>Colombia</t>
  </si>
  <si>
    <t>L</t>
  </si>
  <si>
    <t>England</t>
  </si>
  <si>
    <t>Croatia</t>
  </si>
  <si>
    <t>Ghana</t>
  </si>
  <si>
    <t>Panama</t>
  </si>
  <si>
    <t>Group</t>
  </si>
  <si>
    <t>Game</t>
  </si>
  <si>
    <t>Team 1</t>
  </si>
  <si>
    <t>Team 2</t>
  </si>
  <si>
    <t>Result</t>
  </si>
  <si>
    <t>Legend:  1 = Team 1 wins   |   X = draw   |   2 = Team 2 wins   |   1 point per correct Result</t>
  </si>
  <si>
    <t>ROUND OF 32  —  2 points / team</t>
  </si>
  <si>
    <t>Actual (teams that advanced)</t>
  </si>
  <si>
    <t>ROUND OF 16  —  3 points / team</t>
  </si>
  <si>
    <t>QUARTER-FINALS  —  4 points / team</t>
  </si>
  <si>
    <t>SEMI-FINALS  —  5 points / team</t>
  </si>
  <si>
    <t>FINAL  —  6 points / team</t>
  </si>
  <si>
    <t>Note: picking the same team twice in a round scores only once. Duplicate picks are highlighted red.</t>
  </si>
  <si>
    <t>CHAMPION  —  7 points (pick the tournament winner)</t>
  </si>
  <si>
    <t>Actual winner</t>
  </si>
  <si>
    <t>WORLD CUP 2026 — LEADERBOARD</t>
  </si>
  <si>
    <t>Points per correct pick (editable):</t>
  </si>
  <si>
    <t>Group game</t>
  </si>
  <si>
    <t>R32 team</t>
  </si>
  <si>
    <t>R16 team</t>
  </si>
  <si>
    <t>QF team</t>
  </si>
  <si>
    <t>SF team</t>
  </si>
  <si>
    <t>Final team</t>
  </si>
  <si>
    <t>Champion</t>
  </si>
  <si>
    <t>Player</t>
  </si>
  <si>
    <t>R32</t>
  </si>
  <si>
    <t>R16</t>
  </si>
  <si>
    <t>QF</t>
  </si>
  <si>
    <t>SF</t>
  </si>
  <si>
    <t>Final</t>
  </si>
  <si>
    <t>Champ</t>
  </si>
  <si>
    <t>KO total</t>
  </si>
  <si>
    <t>TOTAL</t>
  </si>
  <si>
    <t>Rank</t>
  </si>
  <si>
    <t>Standings fill in automatically from the Group Stage and Knockout tabs.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</si>
</sst>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B2A4A"/>
      <name val="Arial"/>
      <family val="2"/>
    </font>
    <font>
      <sz val="11"/>
      <color rgb="FF000000"/>
      <name val="Arial"/>
      <family val="2"/>
    </font>
    <font>
      <b/>
      <sz val="11"/>
      <color rgb="FF2E5AAC"/>
      <name val="Arial"/>
      <family val="2"/>
    </font>
    <font>
      <b/>
      <sz val="12"/>
      <color rgb="FFFFFFFF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sz val="9"/>
      <color rgb="FF0000FF"/>
      <name val="Arial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10"/>
      <color rgb="FFFFFFFF"/>
      <name val="Arial"/>
      <family val="2"/>
    </font>
    <font>
      <b/>
      <sz val="10"/>
      <color rgb="FFC00000"/>
      <name val="Arial"/>
      <family val="2"/>
    </font>
    <font>
      <b/>
      <sz val="11"/>
      <color rgb="FF0000FF"/>
      <name val="Arial"/>
      <family val="2"/>
    </font>
    <font>
      <b/>
      <sz val="11"/>
      <color rgb="FF1B2A4A"/>
      <name val="Arial"/>
      <family val="2"/>
    </font>
    <font>
      <sz val="9"/>
      <color rgb="FF55555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FEFEF"/>
        <bgColor rgb="FFDCE6F7"/>
      </patternFill>
    </fill>
    <fill>
      <patternFill patternType="solid">
        <fgColor rgb="FFDCE6F7"/>
        <bgColor rgb="FFEFEFEF"/>
      </patternFill>
    </fill>
    <fill>
      <patternFill patternType="solid">
        <fgColor rgb="FFFFFFFF"/>
        <bgColor rgb="FFEFEFEF"/>
      </patternFill>
    </fill>
    <fill>
      <patternFill patternType="solid">
        <fgColor rgb="FF2E5AAC"/>
        <bgColor rgb="FF3366FF"/>
      </patternFill>
    </fill>
    <fill>
      <patternFill patternType="solid">
        <fgColor rgb="FFF2C14E"/>
        <bgColor rgb="FFF4B6B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/>
    <xf numFmtId="0" fontId="8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9" fillId="0" borderId="0" xfId="0" applyFont="1"/>
    <xf numFmtId="0" fontId="4" fillId="2" borderId="0" xfId="0" applyFont="1" applyFill="1"/>
    <xf numFmtId="0" fontId="0" fillId="2" borderId="0" xfId="0" applyFill="1"/>
    <xf numFmtId="0" fontId="10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0" borderId="0" xfId="0" applyFont="1"/>
    <xf numFmtId="0" fontId="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5">
    <dxf>
      <fill>
        <patternFill>
          <bgColor rgb="FFF4B6B6"/>
        </patternFill>
      </fill>
    </dxf>
    <dxf>
      <fill>
        <patternFill>
          <bgColor rgb="FFF4B6B6"/>
        </patternFill>
      </fill>
    </dxf>
    <dxf>
      <fill>
        <patternFill>
          <bgColor rgb="FFF4B6B6"/>
        </patternFill>
      </fill>
    </dxf>
    <dxf>
      <fill>
        <patternFill>
          <bgColor rgb="FFF4B6B6"/>
        </patternFill>
      </fill>
    </dxf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DCE6F7"/>
      <rgbColor rgb="FF660066"/>
      <rgbColor rgb="FFFF8080"/>
      <rgbColor rgb="FF2E5AA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2C14E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4"/>
  <sheetViews>
    <sheetView showGridLines="0" tabSelected="1" zoomScaleNormal="100" workbookViewId="0"/>
  </sheetViews>
  <sheetFormatPr baseColWidth="10" defaultColWidth="8.6640625" defaultRowHeight="15" x14ac:dyDescent="0.2"/>
  <cols>
    <col min="1" max="1" width="3" customWidth="1"/>
    <col min="2" max="2" width="110" customWidth="1"/>
  </cols>
  <sheetData>
    <row r="2" spans="2:2" ht="19.5" customHeight="1" x14ac:dyDescent="0.2">
      <c r="B2" s="1" t="s">
        <v>0</v>
      </c>
    </row>
    <row r="4" spans="2:2" ht="15" customHeight="1" x14ac:dyDescent="0.2">
      <c r="B4" s="2"/>
    </row>
    <row r="5" spans="2:2" ht="15" customHeight="1" x14ac:dyDescent="0.2">
      <c r="B5" s="3" t="s">
        <v>1</v>
      </c>
    </row>
    <row r="6" spans="2:2" ht="15" customHeight="1" x14ac:dyDescent="0.2">
      <c r="B6" s="2"/>
    </row>
    <row r="7" spans="2:2" ht="15" customHeight="1" x14ac:dyDescent="0.2">
      <c r="B7" s="2" t="s">
        <v>2</v>
      </c>
    </row>
    <row r="8" spans="2:2" ht="15" customHeight="1" x14ac:dyDescent="0.2">
      <c r="B8" s="2" t="s">
        <v>3</v>
      </c>
    </row>
    <row r="9" spans="2:2" ht="15" customHeight="1" x14ac:dyDescent="0.2">
      <c r="B9" s="2"/>
    </row>
    <row r="10" spans="2:2" ht="15" customHeight="1" x14ac:dyDescent="0.2">
      <c r="B10" s="2" t="s">
        <v>4</v>
      </c>
    </row>
    <row r="11" spans="2:2" ht="15" customHeight="1" x14ac:dyDescent="0.2">
      <c r="B11" s="2" t="s">
        <v>5</v>
      </c>
    </row>
    <row r="12" spans="2:2" ht="15" customHeight="1" x14ac:dyDescent="0.2">
      <c r="B12" s="2" t="s">
        <v>6</v>
      </c>
    </row>
    <row r="13" spans="2:2" ht="15" customHeight="1" x14ac:dyDescent="0.2">
      <c r="B13" s="2"/>
    </row>
    <row r="14" spans="2:2" ht="15" customHeight="1" x14ac:dyDescent="0.2">
      <c r="B14" s="2" t="s">
        <v>7</v>
      </c>
    </row>
    <row r="15" spans="2:2" ht="15" customHeight="1" x14ac:dyDescent="0.2">
      <c r="B15" s="2" t="s">
        <v>8</v>
      </c>
    </row>
    <row r="16" spans="2:2" ht="15" customHeight="1" x14ac:dyDescent="0.2">
      <c r="B16" s="2" t="s">
        <v>9</v>
      </c>
    </row>
    <row r="17" spans="2:2" ht="15" customHeight="1" x14ac:dyDescent="0.2">
      <c r="B17" s="2"/>
    </row>
    <row r="18" spans="2:2" ht="15" customHeight="1" x14ac:dyDescent="0.2">
      <c r="B18" s="2" t="s">
        <v>10</v>
      </c>
    </row>
    <row r="19" spans="2:2" ht="15" customHeight="1" x14ac:dyDescent="0.2">
      <c r="B19" s="2" t="s">
        <v>11</v>
      </c>
    </row>
    <row r="20" spans="2:2" ht="15" customHeight="1" x14ac:dyDescent="0.2">
      <c r="B20" s="2"/>
    </row>
    <row r="21" spans="2:2" ht="15" customHeight="1" x14ac:dyDescent="0.2">
      <c r="B21" s="2" t="s">
        <v>12</v>
      </c>
    </row>
    <row r="22" spans="2:2" ht="15" customHeight="1" x14ac:dyDescent="0.2">
      <c r="B22" s="2" t="s">
        <v>13</v>
      </c>
    </row>
    <row r="23" spans="2:2" ht="15" customHeight="1" x14ac:dyDescent="0.2">
      <c r="B23" s="2"/>
    </row>
    <row r="24" spans="2:2" ht="15" customHeight="1" x14ac:dyDescent="0.2">
      <c r="B24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4" customWidth="1"/>
    <col min="3" max="3" width="10" customWidth="1"/>
    <col min="4" max="4" width="22" customWidth="1"/>
  </cols>
  <sheetData>
    <row r="1" spans="1:4" ht="15" customHeight="1" x14ac:dyDescent="0.2">
      <c r="A1" s="4" t="s">
        <v>15</v>
      </c>
      <c r="C1" s="4" t="s">
        <v>16</v>
      </c>
      <c r="D1" s="4" t="s">
        <v>17</v>
      </c>
    </row>
    <row r="2" spans="1:4" ht="15" customHeight="1" x14ac:dyDescent="0.2">
      <c r="A2" s="5" t="s">
        <v>18</v>
      </c>
      <c r="C2" s="6" t="s">
        <v>19</v>
      </c>
      <c r="D2" s="7" t="s">
        <v>20</v>
      </c>
    </row>
    <row r="3" spans="1:4" ht="15" customHeight="1" x14ac:dyDescent="0.2">
      <c r="A3" s="5" t="s">
        <v>21</v>
      </c>
      <c r="C3" s="6" t="s">
        <v>19</v>
      </c>
      <c r="D3" s="7" t="s">
        <v>22</v>
      </c>
    </row>
    <row r="4" spans="1:4" ht="15" customHeight="1" x14ac:dyDescent="0.2">
      <c r="A4" s="5" t="s">
        <v>23</v>
      </c>
      <c r="C4" s="6" t="s">
        <v>19</v>
      </c>
      <c r="D4" s="7" t="s">
        <v>24</v>
      </c>
    </row>
    <row r="5" spans="1:4" ht="15" customHeight="1" x14ac:dyDescent="0.2">
      <c r="A5" s="5" t="s">
        <v>25</v>
      </c>
      <c r="C5" s="6" t="s">
        <v>19</v>
      </c>
      <c r="D5" s="7" t="s">
        <v>26</v>
      </c>
    </row>
    <row r="6" spans="1:4" ht="15" customHeight="1" x14ac:dyDescent="0.2">
      <c r="A6" s="5" t="s">
        <v>27</v>
      </c>
      <c r="C6" s="8" t="s">
        <v>28</v>
      </c>
      <c r="D6" s="7" t="s">
        <v>29</v>
      </c>
    </row>
    <row r="7" spans="1:4" ht="15" customHeight="1" x14ac:dyDescent="0.2">
      <c r="A7" s="5" t="s">
        <v>30</v>
      </c>
      <c r="C7" s="8" t="s">
        <v>28</v>
      </c>
      <c r="D7" s="7" t="s">
        <v>31</v>
      </c>
    </row>
    <row r="8" spans="1:4" ht="15" customHeight="1" x14ac:dyDescent="0.2">
      <c r="A8" s="5" t="s">
        <v>32</v>
      </c>
      <c r="C8" s="8" t="s">
        <v>28</v>
      </c>
      <c r="D8" s="7" t="s">
        <v>33</v>
      </c>
    </row>
    <row r="9" spans="1:4" ht="15" customHeight="1" x14ac:dyDescent="0.2">
      <c r="A9" s="5" t="s">
        <v>34</v>
      </c>
      <c r="C9" s="8" t="s">
        <v>28</v>
      </c>
      <c r="D9" s="7" t="s">
        <v>35</v>
      </c>
    </row>
    <row r="10" spans="1:4" ht="15" customHeight="1" x14ac:dyDescent="0.2">
      <c r="C10" s="6" t="s">
        <v>36</v>
      </c>
      <c r="D10" s="7" t="s">
        <v>37</v>
      </c>
    </row>
    <row r="11" spans="1:4" ht="15" customHeight="1" x14ac:dyDescent="0.2">
      <c r="A11" s="9" t="s">
        <v>38</v>
      </c>
      <c r="C11" s="6" t="s">
        <v>36</v>
      </c>
      <c r="D11" s="7" t="s">
        <v>39</v>
      </c>
    </row>
    <row r="12" spans="1:4" ht="15" customHeight="1" x14ac:dyDescent="0.2">
      <c r="C12" s="6" t="s">
        <v>36</v>
      </c>
      <c r="D12" s="7" t="s">
        <v>40</v>
      </c>
    </row>
    <row r="13" spans="1:4" ht="15" customHeight="1" x14ac:dyDescent="0.2">
      <c r="C13" s="6" t="s">
        <v>36</v>
      </c>
      <c r="D13" s="7" t="s">
        <v>41</v>
      </c>
    </row>
    <row r="14" spans="1:4" ht="15" customHeight="1" x14ac:dyDescent="0.2">
      <c r="C14" s="8" t="s">
        <v>42</v>
      </c>
      <c r="D14" s="7" t="s">
        <v>43</v>
      </c>
    </row>
    <row r="15" spans="1:4" ht="15" customHeight="1" x14ac:dyDescent="0.2">
      <c r="C15" s="8" t="s">
        <v>42</v>
      </c>
      <c r="D15" s="7" t="s">
        <v>44</v>
      </c>
    </row>
    <row r="16" spans="1:4" ht="15" customHeight="1" x14ac:dyDescent="0.2">
      <c r="C16" s="8" t="s">
        <v>42</v>
      </c>
      <c r="D16" s="7" t="s">
        <v>45</v>
      </c>
    </row>
    <row r="17" spans="3:4" ht="15" customHeight="1" x14ac:dyDescent="0.2">
      <c r="C17" s="8" t="s">
        <v>42</v>
      </c>
      <c r="D17" s="7" t="s">
        <v>46</v>
      </c>
    </row>
    <row r="18" spans="3:4" ht="15" customHeight="1" x14ac:dyDescent="0.2">
      <c r="C18" s="6" t="s">
        <v>47</v>
      </c>
      <c r="D18" s="7" t="s">
        <v>48</v>
      </c>
    </row>
    <row r="19" spans="3:4" ht="15" customHeight="1" x14ac:dyDescent="0.2">
      <c r="C19" s="6" t="s">
        <v>47</v>
      </c>
      <c r="D19" s="7" t="s">
        <v>49</v>
      </c>
    </row>
    <row r="20" spans="3:4" ht="15" customHeight="1" x14ac:dyDescent="0.2">
      <c r="C20" s="6" t="s">
        <v>47</v>
      </c>
      <c r="D20" s="7" t="s">
        <v>50</v>
      </c>
    </row>
    <row r="21" spans="3:4" ht="15" customHeight="1" x14ac:dyDescent="0.2">
      <c r="C21" s="6" t="s">
        <v>47</v>
      </c>
      <c r="D21" s="7" t="s">
        <v>51</v>
      </c>
    </row>
    <row r="22" spans="3:4" ht="15" customHeight="1" x14ac:dyDescent="0.2">
      <c r="C22" s="8" t="s">
        <v>52</v>
      </c>
      <c r="D22" s="7" t="s">
        <v>53</v>
      </c>
    </row>
    <row r="23" spans="3:4" ht="15" customHeight="1" x14ac:dyDescent="0.2">
      <c r="C23" s="8" t="s">
        <v>52</v>
      </c>
      <c r="D23" s="7" t="s">
        <v>54</v>
      </c>
    </row>
    <row r="24" spans="3:4" ht="15" customHeight="1" x14ac:dyDescent="0.2">
      <c r="C24" s="8" t="s">
        <v>52</v>
      </c>
      <c r="D24" s="7" t="s">
        <v>55</v>
      </c>
    </row>
    <row r="25" spans="3:4" ht="15" customHeight="1" x14ac:dyDescent="0.2">
      <c r="C25" s="8" t="s">
        <v>52</v>
      </c>
      <c r="D25" s="7" t="s">
        <v>56</v>
      </c>
    </row>
    <row r="26" spans="3:4" ht="15" customHeight="1" x14ac:dyDescent="0.2">
      <c r="C26" s="6" t="s">
        <v>57</v>
      </c>
      <c r="D26" s="7" t="s">
        <v>58</v>
      </c>
    </row>
    <row r="27" spans="3:4" ht="15" customHeight="1" x14ac:dyDescent="0.2">
      <c r="C27" s="6" t="s">
        <v>57</v>
      </c>
      <c r="D27" s="7" t="s">
        <v>59</v>
      </c>
    </row>
    <row r="28" spans="3:4" ht="15" customHeight="1" x14ac:dyDescent="0.2">
      <c r="C28" s="6" t="s">
        <v>57</v>
      </c>
      <c r="D28" s="7" t="s">
        <v>60</v>
      </c>
    </row>
    <row r="29" spans="3:4" ht="15" customHeight="1" x14ac:dyDescent="0.2">
      <c r="C29" s="6" t="s">
        <v>57</v>
      </c>
      <c r="D29" s="7" t="s">
        <v>61</v>
      </c>
    </row>
    <row r="30" spans="3:4" ht="15" customHeight="1" x14ac:dyDescent="0.2">
      <c r="C30" s="8" t="s">
        <v>62</v>
      </c>
      <c r="D30" s="7" t="s">
        <v>63</v>
      </c>
    </row>
    <row r="31" spans="3:4" ht="15" customHeight="1" x14ac:dyDescent="0.2">
      <c r="C31" s="8" t="s">
        <v>62</v>
      </c>
      <c r="D31" s="7" t="s">
        <v>64</v>
      </c>
    </row>
    <row r="32" spans="3:4" ht="15" customHeight="1" x14ac:dyDescent="0.2">
      <c r="C32" s="8" t="s">
        <v>62</v>
      </c>
      <c r="D32" s="7" t="s">
        <v>65</v>
      </c>
    </row>
    <row r="33" spans="3:4" ht="15" customHeight="1" x14ac:dyDescent="0.2">
      <c r="C33" s="8" t="s">
        <v>62</v>
      </c>
      <c r="D33" s="7" t="s">
        <v>66</v>
      </c>
    </row>
    <row r="34" spans="3:4" ht="15" customHeight="1" x14ac:dyDescent="0.2">
      <c r="C34" s="6" t="s">
        <v>67</v>
      </c>
      <c r="D34" s="7" t="s">
        <v>68</v>
      </c>
    </row>
    <row r="35" spans="3:4" ht="15" customHeight="1" x14ac:dyDescent="0.2">
      <c r="C35" s="6" t="s">
        <v>67</v>
      </c>
      <c r="D35" s="7" t="s">
        <v>69</v>
      </c>
    </row>
    <row r="36" spans="3:4" ht="15" customHeight="1" x14ac:dyDescent="0.2">
      <c r="C36" s="6" t="s">
        <v>67</v>
      </c>
      <c r="D36" s="7" t="s">
        <v>70</v>
      </c>
    </row>
    <row r="37" spans="3:4" ht="15" customHeight="1" x14ac:dyDescent="0.2">
      <c r="C37" s="6" t="s">
        <v>67</v>
      </c>
      <c r="D37" s="7" t="s">
        <v>71</v>
      </c>
    </row>
    <row r="38" spans="3:4" ht="15" customHeight="1" x14ac:dyDescent="0.2">
      <c r="C38" s="8" t="s">
        <v>72</v>
      </c>
      <c r="D38" s="7" t="s">
        <v>73</v>
      </c>
    </row>
    <row r="39" spans="3:4" ht="15" customHeight="1" x14ac:dyDescent="0.2">
      <c r="C39" s="8" t="s">
        <v>72</v>
      </c>
      <c r="D39" s="7" t="s">
        <v>74</v>
      </c>
    </row>
    <row r="40" spans="3:4" ht="15" customHeight="1" x14ac:dyDescent="0.2">
      <c r="C40" s="8" t="s">
        <v>72</v>
      </c>
      <c r="D40" s="7" t="s">
        <v>75</v>
      </c>
    </row>
    <row r="41" spans="3:4" ht="15" customHeight="1" x14ac:dyDescent="0.2">
      <c r="C41" s="8" t="s">
        <v>72</v>
      </c>
      <c r="D41" s="7" t="s">
        <v>76</v>
      </c>
    </row>
    <row r="42" spans="3:4" ht="15" customHeight="1" x14ac:dyDescent="0.2">
      <c r="C42" s="6" t="s">
        <v>77</v>
      </c>
      <c r="D42" s="7" t="s">
        <v>78</v>
      </c>
    </row>
    <row r="43" spans="3:4" ht="15" customHeight="1" x14ac:dyDescent="0.2">
      <c r="C43" s="6" t="s">
        <v>77</v>
      </c>
      <c r="D43" s="7" t="s">
        <v>79</v>
      </c>
    </row>
    <row r="44" spans="3:4" ht="15" customHeight="1" x14ac:dyDescent="0.2">
      <c r="C44" s="6" t="s">
        <v>77</v>
      </c>
      <c r="D44" s="7" t="s">
        <v>80</v>
      </c>
    </row>
    <row r="45" spans="3:4" ht="15" customHeight="1" x14ac:dyDescent="0.2">
      <c r="C45" s="6" t="s">
        <v>77</v>
      </c>
      <c r="D45" s="7" t="s">
        <v>81</v>
      </c>
    </row>
    <row r="46" spans="3:4" ht="15" customHeight="1" x14ac:dyDescent="0.2">
      <c r="C46" s="8" t="s">
        <v>82</v>
      </c>
      <c r="D46" s="7" t="s">
        <v>83</v>
      </c>
    </row>
    <row r="47" spans="3:4" ht="15" customHeight="1" x14ac:dyDescent="0.2">
      <c r="C47" s="8" t="s">
        <v>82</v>
      </c>
      <c r="D47" s="7" t="s">
        <v>84</v>
      </c>
    </row>
    <row r="48" spans="3:4" ht="15" customHeight="1" x14ac:dyDescent="0.2">
      <c r="C48" s="8" t="s">
        <v>82</v>
      </c>
      <c r="D48" s="7" t="s">
        <v>85</v>
      </c>
    </row>
    <row r="49" spans="3:4" ht="15" customHeight="1" x14ac:dyDescent="0.2">
      <c r="C49" s="8" t="s">
        <v>82</v>
      </c>
      <c r="D49" s="7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75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8" customWidth="1"/>
    <col min="2" max="2" width="7" customWidth="1"/>
    <col min="3" max="4" width="20" customWidth="1"/>
    <col min="5" max="5" width="9" customWidth="1"/>
    <col min="6" max="13" width="12" customWidth="1"/>
  </cols>
  <sheetData>
    <row r="1" spans="1:13" ht="15" customHeight="1" x14ac:dyDescent="0.2">
      <c r="A1" s="10" t="s">
        <v>87</v>
      </c>
      <c r="B1" s="10" t="s">
        <v>88</v>
      </c>
      <c r="C1" s="10" t="s">
        <v>89</v>
      </c>
      <c r="D1" s="10" t="s">
        <v>90</v>
      </c>
      <c r="E1" s="10" t="s">
        <v>91</v>
      </c>
      <c r="F1" s="10" t="s">
        <v>18</v>
      </c>
      <c r="G1" s="10" t="s">
        <v>21</v>
      </c>
      <c r="H1" s="10" t="s">
        <v>23</v>
      </c>
      <c r="I1" s="10" t="s">
        <v>25</v>
      </c>
      <c r="J1" s="10" t="s">
        <v>27</v>
      </c>
      <c r="K1" s="10" t="s">
        <v>30</v>
      </c>
      <c r="L1" s="10" t="s">
        <v>32</v>
      </c>
      <c r="M1" s="10" t="s">
        <v>34</v>
      </c>
    </row>
    <row r="2" spans="1:13" ht="15" customHeight="1" x14ac:dyDescent="0.2">
      <c r="A2" s="11" t="s">
        <v>19</v>
      </c>
      <c r="B2" s="11">
        <v>1</v>
      </c>
      <c r="C2" s="12" t="str">
        <f>Setup!$D$2</f>
        <v>Mexico</v>
      </c>
      <c r="D2" s="12" t="str">
        <f>Setup!$D$3</f>
        <v>South Africa</v>
      </c>
      <c r="E2" s="11"/>
      <c r="F2" s="13"/>
      <c r="G2" s="13"/>
      <c r="H2" s="13"/>
      <c r="I2" s="13"/>
      <c r="J2" s="13"/>
      <c r="K2" s="13"/>
      <c r="L2" s="13"/>
      <c r="M2" s="13"/>
    </row>
    <row r="3" spans="1:13" ht="15" customHeight="1" x14ac:dyDescent="0.2">
      <c r="A3" s="11" t="s">
        <v>19</v>
      </c>
      <c r="B3" s="11">
        <v>2</v>
      </c>
      <c r="C3" s="12" t="str">
        <f>Setup!$D$2</f>
        <v>Mexico</v>
      </c>
      <c r="D3" s="12" t="str">
        <f>Setup!$D$4</f>
        <v>South Korea</v>
      </c>
      <c r="E3" s="11"/>
      <c r="F3" s="13"/>
      <c r="G3" s="13"/>
      <c r="H3" s="13"/>
      <c r="I3" s="13"/>
      <c r="J3" s="13"/>
      <c r="K3" s="13"/>
      <c r="L3" s="13"/>
      <c r="M3" s="13"/>
    </row>
    <row r="4" spans="1:13" ht="15" customHeight="1" x14ac:dyDescent="0.2">
      <c r="A4" s="11" t="s">
        <v>19</v>
      </c>
      <c r="B4" s="11">
        <v>3</v>
      </c>
      <c r="C4" s="12" t="str">
        <f>Setup!$D$2</f>
        <v>Mexico</v>
      </c>
      <c r="D4" s="12" t="str">
        <f>Setup!$D$5</f>
        <v>Czech Republic</v>
      </c>
      <c r="E4" s="11"/>
      <c r="F4" s="13"/>
      <c r="G4" s="13"/>
      <c r="H4" s="13"/>
      <c r="I4" s="13"/>
      <c r="J4" s="13"/>
      <c r="K4" s="13"/>
      <c r="L4" s="13"/>
      <c r="M4" s="13"/>
    </row>
    <row r="5" spans="1:13" ht="15" customHeight="1" x14ac:dyDescent="0.2">
      <c r="A5" s="11" t="s">
        <v>19</v>
      </c>
      <c r="B5" s="11">
        <v>4</v>
      </c>
      <c r="C5" s="12" t="str">
        <f>Setup!$D$3</f>
        <v>South Africa</v>
      </c>
      <c r="D5" s="12" t="str">
        <f>Setup!$D$4</f>
        <v>South Korea</v>
      </c>
      <c r="E5" s="11"/>
      <c r="F5" s="13"/>
      <c r="G5" s="13"/>
      <c r="H5" s="13"/>
      <c r="I5" s="13"/>
      <c r="J5" s="13"/>
      <c r="K5" s="13"/>
      <c r="L5" s="13"/>
      <c r="M5" s="13"/>
    </row>
    <row r="6" spans="1:13" ht="15" customHeight="1" x14ac:dyDescent="0.2">
      <c r="A6" s="11" t="s">
        <v>19</v>
      </c>
      <c r="B6" s="11">
        <v>5</v>
      </c>
      <c r="C6" s="12" t="str">
        <f>Setup!$D$3</f>
        <v>South Africa</v>
      </c>
      <c r="D6" s="12" t="str">
        <f>Setup!$D$5</f>
        <v>Czech Republic</v>
      </c>
      <c r="E6" s="11"/>
      <c r="F6" s="13"/>
      <c r="G6" s="13"/>
      <c r="H6" s="13"/>
      <c r="I6" s="13"/>
      <c r="J6" s="13"/>
      <c r="K6" s="13"/>
      <c r="L6" s="13"/>
      <c r="M6" s="13"/>
    </row>
    <row r="7" spans="1:13" ht="15" customHeight="1" x14ac:dyDescent="0.2">
      <c r="A7" s="11" t="s">
        <v>19</v>
      </c>
      <c r="B7" s="11">
        <v>6</v>
      </c>
      <c r="C7" s="12" t="str">
        <f>Setup!$D$4</f>
        <v>South Korea</v>
      </c>
      <c r="D7" s="12" t="str">
        <f>Setup!$D$5</f>
        <v>Czech Republic</v>
      </c>
      <c r="E7" s="11"/>
      <c r="F7" s="13"/>
      <c r="G7" s="13"/>
      <c r="H7" s="13"/>
      <c r="I7" s="13"/>
      <c r="J7" s="13"/>
      <c r="K7" s="13"/>
      <c r="L7" s="13"/>
      <c r="M7" s="13"/>
    </row>
    <row r="8" spans="1:13" ht="15" customHeight="1" x14ac:dyDescent="0.2">
      <c r="A8" s="14" t="s">
        <v>28</v>
      </c>
      <c r="B8" s="14">
        <v>1</v>
      </c>
      <c r="C8" s="15" t="str">
        <f>Setup!$D$6</f>
        <v>Canada</v>
      </c>
      <c r="D8" s="15" t="str">
        <f>Setup!$D$7</f>
        <v>Bosnia and Herzegovina</v>
      </c>
      <c r="E8" s="14"/>
      <c r="F8" s="16"/>
      <c r="G8" s="16"/>
      <c r="H8" s="16"/>
      <c r="I8" s="16"/>
      <c r="J8" s="16"/>
      <c r="K8" s="16"/>
      <c r="L8" s="16"/>
      <c r="M8" s="16"/>
    </row>
    <row r="9" spans="1:13" ht="15" customHeight="1" x14ac:dyDescent="0.2">
      <c r="A9" s="14" t="s">
        <v>28</v>
      </c>
      <c r="B9" s="14">
        <v>2</v>
      </c>
      <c r="C9" s="15" t="str">
        <f>Setup!$D$6</f>
        <v>Canada</v>
      </c>
      <c r="D9" s="15" t="str">
        <f>Setup!$D$8</f>
        <v>Qatar</v>
      </c>
      <c r="E9" s="14"/>
      <c r="F9" s="16"/>
      <c r="G9" s="16"/>
      <c r="H9" s="16"/>
      <c r="I9" s="16"/>
      <c r="J9" s="16"/>
      <c r="K9" s="16"/>
      <c r="L9" s="16"/>
      <c r="M9" s="16"/>
    </row>
    <row r="10" spans="1:13" ht="15" customHeight="1" x14ac:dyDescent="0.2">
      <c r="A10" s="14" t="s">
        <v>28</v>
      </c>
      <c r="B10" s="14">
        <v>3</v>
      </c>
      <c r="C10" s="15" t="str">
        <f>Setup!$D$6</f>
        <v>Canada</v>
      </c>
      <c r="D10" s="15" t="str">
        <f>Setup!$D$9</f>
        <v>Switzerland</v>
      </c>
      <c r="E10" s="14"/>
      <c r="F10" s="16"/>
      <c r="G10" s="16"/>
      <c r="H10" s="16"/>
      <c r="I10" s="16"/>
      <c r="J10" s="16"/>
      <c r="K10" s="16"/>
      <c r="L10" s="16"/>
      <c r="M10" s="16"/>
    </row>
    <row r="11" spans="1:13" ht="15" customHeight="1" x14ac:dyDescent="0.2">
      <c r="A11" s="14" t="s">
        <v>28</v>
      </c>
      <c r="B11" s="14">
        <v>4</v>
      </c>
      <c r="C11" s="15" t="str">
        <f>Setup!$D$7</f>
        <v>Bosnia and Herzegovina</v>
      </c>
      <c r="D11" s="15" t="str">
        <f>Setup!$D$8</f>
        <v>Qatar</v>
      </c>
      <c r="E11" s="14"/>
      <c r="F11" s="16"/>
      <c r="G11" s="16"/>
      <c r="H11" s="16"/>
      <c r="I11" s="16"/>
      <c r="J11" s="16"/>
      <c r="K11" s="16"/>
      <c r="L11" s="16"/>
      <c r="M11" s="16"/>
    </row>
    <row r="12" spans="1:13" ht="15" customHeight="1" x14ac:dyDescent="0.2">
      <c r="A12" s="14" t="s">
        <v>28</v>
      </c>
      <c r="B12" s="14">
        <v>5</v>
      </c>
      <c r="C12" s="15" t="str">
        <f>Setup!$D$7</f>
        <v>Bosnia and Herzegovina</v>
      </c>
      <c r="D12" s="15" t="str">
        <f>Setup!$D$9</f>
        <v>Switzerland</v>
      </c>
      <c r="E12" s="14"/>
      <c r="F12" s="16"/>
      <c r="G12" s="16"/>
      <c r="H12" s="16"/>
      <c r="I12" s="16"/>
      <c r="J12" s="16"/>
      <c r="K12" s="16"/>
      <c r="L12" s="16"/>
      <c r="M12" s="16"/>
    </row>
    <row r="13" spans="1:13" ht="15" customHeight="1" x14ac:dyDescent="0.2">
      <c r="A13" s="14" t="s">
        <v>28</v>
      </c>
      <c r="B13" s="14">
        <v>6</v>
      </c>
      <c r="C13" s="15" t="str">
        <f>Setup!$D$8</f>
        <v>Qatar</v>
      </c>
      <c r="D13" s="15" t="str">
        <f>Setup!$D$9</f>
        <v>Switzerland</v>
      </c>
      <c r="E13" s="14"/>
      <c r="F13" s="16"/>
      <c r="G13" s="16"/>
      <c r="H13" s="16"/>
      <c r="I13" s="16"/>
      <c r="J13" s="16"/>
      <c r="K13" s="16"/>
      <c r="L13" s="16"/>
      <c r="M13" s="16"/>
    </row>
    <row r="14" spans="1:13" ht="15" customHeight="1" x14ac:dyDescent="0.2">
      <c r="A14" s="11" t="s">
        <v>36</v>
      </c>
      <c r="B14" s="11">
        <v>1</v>
      </c>
      <c r="C14" s="12" t="str">
        <f>Setup!$D$10</f>
        <v>Brazil</v>
      </c>
      <c r="D14" s="12" t="str">
        <f>Setup!$D$11</f>
        <v>Morocco</v>
      </c>
      <c r="E14" s="11"/>
      <c r="F14" s="13"/>
      <c r="G14" s="13"/>
      <c r="H14" s="13"/>
      <c r="I14" s="13"/>
      <c r="J14" s="13"/>
      <c r="K14" s="13"/>
      <c r="L14" s="13"/>
      <c r="M14" s="13"/>
    </row>
    <row r="15" spans="1:13" ht="15" customHeight="1" x14ac:dyDescent="0.2">
      <c r="A15" s="11" t="s">
        <v>36</v>
      </c>
      <c r="B15" s="11">
        <v>2</v>
      </c>
      <c r="C15" s="12" t="str">
        <f>Setup!$D$10</f>
        <v>Brazil</v>
      </c>
      <c r="D15" s="12" t="str">
        <f>Setup!$D$12</f>
        <v>Haiti</v>
      </c>
      <c r="E15" s="11"/>
      <c r="F15" s="13"/>
      <c r="G15" s="13"/>
      <c r="H15" s="13"/>
      <c r="I15" s="13"/>
      <c r="J15" s="13"/>
      <c r="K15" s="13"/>
      <c r="L15" s="13"/>
      <c r="M15" s="13"/>
    </row>
    <row r="16" spans="1:13" ht="15" customHeight="1" x14ac:dyDescent="0.2">
      <c r="A16" s="11" t="s">
        <v>36</v>
      </c>
      <c r="B16" s="11">
        <v>3</v>
      </c>
      <c r="C16" s="12" t="str">
        <f>Setup!$D$10</f>
        <v>Brazil</v>
      </c>
      <c r="D16" s="12" t="str">
        <f>Setup!$D$13</f>
        <v>Scotland</v>
      </c>
      <c r="E16" s="11"/>
      <c r="F16" s="13"/>
      <c r="G16" s="13"/>
      <c r="H16" s="13"/>
      <c r="I16" s="13"/>
      <c r="J16" s="13"/>
      <c r="K16" s="13"/>
      <c r="L16" s="13"/>
      <c r="M16" s="13"/>
    </row>
    <row r="17" spans="1:13" ht="15" customHeight="1" x14ac:dyDescent="0.2">
      <c r="A17" s="11" t="s">
        <v>36</v>
      </c>
      <c r="B17" s="11">
        <v>4</v>
      </c>
      <c r="C17" s="12" t="str">
        <f>Setup!$D$11</f>
        <v>Morocco</v>
      </c>
      <c r="D17" s="12" t="str">
        <f>Setup!$D$12</f>
        <v>Haiti</v>
      </c>
      <c r="E17" s="11"/>
      <c r="F17" s="13"/>
      <c r="G17" s="13"/>
      <c r="H17" s="13"/>
      <c r="I17" s="13"/>
      <c r="J17" s="13"/>
      <c r="K17" s="13"/>
      <c r="L17" s="13"/>
      <c r="M17" s="13"/>
    </row>
    <row r="18" spans="1:13" ht="15" customHeight="1" x14ac:dyDescent="0.2">
      <c r="A18" s="11" t="s">
        <v>36</v>
      </c>
      <c r="B18" s="11">
        <v>5</v>
      </c>
      <c r="C18" s="12" t="str">
        <f>Setup!$D$11</f>
        <v>Morocco</v>
      </c>
      <c r="D18" s="12" t="str">
        <f>Setup!$D$13</f>
        <v>Scotland</v>
      </c>
      <c r="E18" s="11"/>
      <c r="F18" s="13"/>
      <c r="G18" s="13"/>
      <c r="H18" s="13"/>
      <c r="I18" s="13"/>
      <c r="J18" s="13"/>
      <c r="K18" s="13"/>
      <c r="L18" s="13"/>
      <c r="M18" s="13"/>
    </row>
    <row r="19" spans="1:13" ht="15" customHeight="1" x14ac:dyDescent="0.2">
      <c r="A19" s="11" t="s">
        <v>36</v>
      </c>
      <c r="B19" s="11">
        <v>6</v>
      </c>
      <c r="C19" s="12" t="str">
        <f>Setup!$D$12</f>
        <v>Haiti</v>
      </c>
      <c r="D19" s="12" t="str">
        <f>Setup!$D$13</f>
        <v>Scotland</v>
      </c>
      <c r="E19" s="11"/>
      <c r="F19" s="13"/>
      <c r="G19" s="13"/>
      <c r="H19" s="13"/>
      <c r="I19" s="13"/>
      <c r="J19" s="13"/>
      <c r="K19" s="13"/>
      <c r="L19" s="13"/>
      <c r="M19" s="13"/>
    </row>
    <row r="20" spans="1:13" ht="15" customHeight="1" x14ac:dyDescent="0.2">
      <c r="A20" s="14" t="s">
        <v>42</v>
      </c>
      <c r="B20" s="14">
        <v>1</v>
      </c>
      <c r="C20" s="15" t="str">
        <f>Setup!$D$14</f>
        <v>United States</v>
      </c>
      <c r="D20" s="15" t="str">
        <f>Setup!$D$15</f>
        <v>Paraguay</v>
      </c>
      <c r="E20" s="14"/>
      <c r="F20" s="16"/>
      <c r="G20" s="16"/>
      <c r="H20" s="16"/>
      <c r="I20" s="16"/>
      <c r="J20" s="16"/>
      <c r="K20" s="16"/>
      <c r="L20" s="16"/>
      <c r="M20" s="16"/>
    </row>
    <row r="21" spans="1:13" ht="15" customHeight="1" x14ac:dyDescent="0.2">
      <c r="A21" s="14" t="s">
        <v>42</v>
      </c>
      <c r="B21" s="14">
        <v>2</v>
      </c>
      <c r="C21" s="15" t="str">
        <f>Setup!$D$14</f>
        <v>United States</v>
      </c>
      <c r="D21" s="15" t="str">
        <f>Setup!$D$16</f>
        <v>Australia</v>
      </c>
      <c r="E21" s="14"/>
      <c r="F21" s="16"/>
      <c r="G21" s="16"/>
      <c r="H21" s="16"/>
      <c r="I21" s="16"/>
      <c r="J21" s="16"/>
      <c r="K21" s="16"/>
      <c r="L21" s="16"/>
      <c r="M21" s="16"/>
    </row>
    <row r="22" spans="1:13" ht="15" customHeight="1" x14ac:dyDescent="0.2">
      <c r="A22" s="14" t="s">
        <v>42</v>
      </c>
      <c r="B22" s="14">
        <v>3</v>
      </c>
      <c r="C22" s="15" t="str">
        <f>Setup!$D$14</f>
        <v>United States</v>
      </c>
      <c r="D22" s="15" t="str">
        <f>Setup!$D$17</f>
        <v>Turkey</v>
      </c>
      <c r="E22" s="14"/>
      <c r="F22" s="16"/>
      <c r="G22" s="16"/>
      <c r="H22" s="16"/>
      <c r="I22" s="16"/>
      <c r="J22" s="16"/>
      <c r="K22" s="16"/>
      <c r="L22" s="16"/>
      <c r="M22" s="16"/>
    </row>
    <row r="23" spans="1:13" ht="15" customHeight="1" x14ac:dyDescent="0.2">
      <c r="A23" s="14" t="s">
        <v>42</v>
      </c>
      <c r="B23" s="14">
        <v>4</v>
      </c>
      <c r="C23" s="15" t="str">
        <f>Setup!$D$15</f>
        <v>Paraguay</v>
      </c>
      <c r="D23" s="15" t="str">
        <f>Setup!$D$16</f>
        <v>Australia</v>
      </c>
      <c r="E23" s="14"/>
      <c r="F23" s="16"/>
      <c r="G23" s="16"/>
      <c r="H23" s="16"/>
      <c r="I23" s="16"/>
      <c r="J23" s="16"/>
      <c r="K23" s="16"/>
      <c r="L23" s="16"/>
      <c r="M23" s="16"/>
    </row>
    <row r="24" spans="1:13" ht="15" customHeight="1" x14ac:dyDescent="0.2">
      <c r="A24" s="14" t="s">
        <v>42</v>
      </c>
      <c r="B24" s="14">
        <v>5</v>
      </c>
      <c r="C24" s="15" t="str">
        <f>Setup!$D$15</f>
        <v>Paraguay</v>
      </c>
      <c r="D24" s="15" t="str">
        <f>Setup!$D$17</f>
        <v>Turkey</v>
      </c>
      <c r="E24" s="14"/>
      <c r="F24" s="16"/>
      <c r="G24" s="16"/>
      <c r="H24" s="16"/>
      <c r="I24" s="16"/>
      <c r="J24" s="16"/>
      <c r="K24" s="16"/>
      <c r="L24" s="16"/>
      <c r="M24" s="16"/>
    </row>
    <row r="25" spans="1:13" ht="15" customHeight="1" x14ac:dyDescent="0.2">
      <c r="A25" s="14" t="s">
        <v>42</v>
      </c>
      <c r="B25" s="14">
        <v>6</v>
      </c>
      <c r="C25" s="15" t="str">
        <f>Setup!$D$16</f>
        <v>Australia</v>
      </c>
      <c r="D25" s="15" t="str">
        <f>Setup!$D$17</f>
        <v>Turkey</v>
      </c>
      <c r="E25" s="14"/>
      <c r="F25" s="16"/>
      <c r="G25" s="16"/>
      <c r="H25" s="16"/>
      <c r="I25" s="16"/>
      <c r="J25" s="16"/>
      <c r="K25" s="16"/>
      <c r="L25" s="16"/>
      <c r="M25" s="16"/>
    </row>
    <row r="26" spans="1:13" ht="15" customHeight="1" x14ac:dyDescent="0.2">
      <c r="A26" s="11" t="s">
        <v>47</v>
      </c>
      <c r="B26" s="11">
        <v>1</v>
      </c>
      <c r="C26" s="12" t="str">
        <f>Setup!$D$18</f>
        <v>Germany</v>
      </c>
      <c r="D26" s="12" t="str">
        <f>Setup!$D$19</f>
        <v>Curacao</v>
      </c>
      <c r="E26" s="11"/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">
      <c r="A27" s="11" t="s">
        <v>47</v>
      </c>
      <c r="B27" s="11">
        <v>2</v>
      </c>
      <c r="C27" s="12" t="str">
        <f>Setup!$D$18</f>
        <v>Germany</v>
      </c>
      <c r="D27" s="12" t="str">
        <f>Setup!$D$20</f>
        <v>Ivory Coast</v>
      </c>
      <c r="E27" s="11"/>
      <c r="F27" s="13"/>
      <c r="G27" s="13"/>
      <c r="H27" s="13"/>
      <c r="I27" s="13"/>
      <c r="J27" s="13"/>
      <c r="K27" s="13"/>
      <c r="L27" s="13"/>
      <c r="M27" s="13"/>
    </row>
    <row r="28" spans="1:13" ht="15" customHeight="1" x14ac:dyDescent="0.2">
      <c r="A28" s="11" t="s">
        <v>47</v>
      </c>
      <c r="B28" s="11">
        <v>3</v>
      </c>
      <c r="C28" s="12" t="str">
        <f>Setup!$D$18</f>
        <v>Germany</v>
      </c>
      <c r="D28" s="12" t="str">
        <f>Setup!$D$21</f>
        <v>Ecuador</v>
      </c>
      <c r="E28" s="11"/>
      <c r="F28" s="13"/>
      <c r="G28" s="13"/>
      <c r="H28" s="13"/>
      <c r="I28" s="13"/>
      <c r="J28" s="13"/>
      <c r="K28" s="13"/>
      <c r="L28" s="13"/>
      <c r="M28" s="13"/>
    </row>
    <row r="29" spans="1:13" ht="15" customHeight="1" x14ac:dyDescent="0.2">
      <c r="A29" s="11" t="s">
        <v>47</v>
      </c>
      <c r="B29" s="11">
        <v>4</v>
      </c>
      <c r="C29" s="12" t="str">
        <f>Setup!$D$19</f>
        <v>Curacao</v>
      </c>
      <c r="D29" s="12" t="str">
        <f>Setup!$D$20</f>
        <v>Ivory Coast</v>
      </c>
      <c r="E29" s="11"/>
      <c r="F29" s="13"/>
      <c r="G29" s="13"/>
      <c r="H29" s="13"/>
      <c r="I29" s="13"/>
      <c r="J29" s="13"/>
      <c r="K29" s="13"/>
      <c r="L29" s="13"/>
      <c r="M29" s="13"/>
    </row>
    <row r="30" spans="1:13" ht="15" customHeight="1" x14ac:dyDescent="0.2">
      <c r="A30" s="11" t="s">
        <v>47</v>
      </c>
      <c r="B30" s="11">
        <v>5</v>
      </c>
      <c r="C30" s="12" t="str">
        <f>Setup!$D$19</f>
        <v>Curacao</v>
      </c>
      <c r="D30" s="12" t="str">
        <f>Setup!$D$21</f>
        <v>Ecuador</v>
      </c>
      <c r="E30" s="11"/>
      <c r="F30" s="13"/>
      <c r="G30" s="13"/>
      <c r="H30" s="13"/>
      <c r="I30" s="13"/>
      <c r="J30" s="13"/>
      <c r="K30" s="13"/>
      <c r="L30" s="13"/>
      <c r="M30" s="13"/>
    </row>
    <row r="31" spans="1:13" ht="15" customHeight="1" x14ac:dyDescent="0.2">
      <c r="A31" s="11" t="s">
        <v>47</v>
      </c>
      <c r="B31" s="11">
        <v>6</v>
      </c>
      <c r="C31" s="12" t="str">
        <f>Setup!$D$20</f>
        <v>Ivory Coast</v>
      </c>
      <c r="D31" s="12" t="str">
        <f>Setup!$D$21</f>
        <v>Ecuador</v>
      </c>
      <c r="E31" s="11"/>
      <c r="F31" s="13"/>
      <c r="G31" s="13"/>
      <c r="H31" s="13"/>
      <c r="I31" s="13"/>
      <c r="J31" s="13"/>
      <c r="K31" s="13"/>
      <c r="L31" s="13"/>
      <c r="M31" s="13"/>
    </row>
    <row r="32" spans="1:13" ht="15" customHeight="1" x14ac:dyDescent="0.2">
      <c r="A32" s="14" t="s">
        <v>52</v>
      </c>
      <c r="B32" s="14">
        <v>1</v>
      </c>
      <c r="C32" s="15" t="str">
        <f>Setup!$D$22</f>
        <v>Netherlands</v>
      </c>
      <c r="D32" s="15" t="str">
        <f>Setup!$D$23</f>
        <v>Japan</v>
      </c>
      <c r="E32" s="14"/>
      <c r="F32" s="16"/>
      <c r="G32" s="16"/>
      <c r="H32" s="16"/>
      <c r="I32" s="16"/>
      <c r="J32" s="16"/>
      <c r="K32" s="16"/>
      <c r="L32" s="16"/>
      <c r="M32" s="16"/>
    </row>
    <row r="33" spans="1:13" ht="15" customHeight="1" x14ac:dyDescent="0.2">
      <c r="A33" s="14" t="s">
        <v>52</v>
      </c>
      <c r="B33" s="14">
        <v>2</v>
      </c>
      <c r="C33" s="15" t="str">
        <f>Setup!$D$22</f>
        <v>Netherlands</v>
      </c>
      <c r="D33" s="15" t="str">
        <f>Setup!$D$24</f>
        <v>Sweden</v>
      </c>
      <c r="E33" s="14"/>
      <c r="F33" s="16"/>
      <c r="G33" s="16"/>
      <c r="H33" s="16"/>
      <c r="I33" s="16"/>
      <c r="J33" s="16"/>
      <c r="K33" s="16"/>
      <c r="L33" s="16"/>
      <c r="M33" s="16"/>
    </row>
    <row r="34" spans="1:13" ht="15" customHeight="1" x14ac:dyDescent="0.2">
      <c r="A34" s="14" t="s">
        <v>52</v>
      </c>
      <c r="B34" s="14">
        <v>3</v>
      </c>
      <c r="C34" s="15" t="str">
        <f>Setup!$D$22</f>
        <v>Netherlands</v>
      </c>
      <c r="D34" s="15" t="str">
        <f>Setup!$D$25</f>
        <v>Tunisia</v>
      </c>
      <c r="E34" s="14"/>
      <c r="F34" s="16"/>
      <c r="G34" s="16"/>
      <c r="H34" s="16"/>
      <c r="I34" s="16"/>
      <c r="J34" s="16"/>
      <c r="K34" s="16"/>
      <c r="L34" s="16"/>
      <c r="M34" s="16"/>
    </row>
    <row r="35" spans="1:13" ht="15" customHeight="1" x14ac:dyDescent="0.2">
      <c r="A35" s="14" t="s">
        <v>52</v>
      </c>
      <c r="B35" s="14">
        <v>4</v>
      </c>
      <c r="C35" s="15" t="str">
        <f>Setup!$D$23</f>
        <v>Japan</v>
      </c>
      <c r="D35" s="15" t="str">
        <f>Setup!$D$24</f>
        <v>Sweden</v>
      </c>
      <c r="E35" s="14"/>
      <c r="F35" s="16"/>
      <c r="G35" s="16"/>
      <c r="H35" s="16"/>
      <c r="I35" s="16"/>
      <c r="J35" s="16"/>
      <c r="K35" s="16"/>
      <c r="L35" s="16"/>
      <c r="M35" s="16"/>
    </row>
    <row r="36" spans="1:13" ht="15" customHeight="1" x14ac:dyDescent="0.2">
      <c r="A36" s="14" t="s">
        <v>52</v>
      </c>
      <c r="B36" s="14">
        <v>5</v>
      </c>
      <c r="C36" s="15" t="str">
        <f>Setup!$D$23</f>
        <v>Japan</v>
      </c>
      <c r="D36" s="15" t="str">
        <f>Setup!$D$25</f>
        <v>Tunisia</v>
      </c>
      <c r="E36" s="14"/>
      <c r="F36" s="16"/>
      <c r="G36" s="16"/>
      <c r="H36" s="16"/>
      <c r="I36" s="16"/>
      <c r="J36" s="16"/>
      <c r="K36" s="16"/>
      <c r="L36" s="16"/>
      <c r="M36" s="16"/>
    </row>
    <row r="37" spans="1:13" ht="15" customHeight="1" x14ac:dyDescent="0.2">
      <c r="A37" s="14" t="s">
        <v>52</v>
      </c>
      <c r="B37" s="14">
        <v>6</v>
      </c>
      <c r="C37" s="15" t="str">
        <f>Setup!$D$24</f>
        <v>Sweden</v>
      </c>
      <c r="D37" s="15" t="str">
        <f>Setup!$D$25</f>
        <v>Tunisia</v>
      </c>
      <c r="E37" s="14"/>
      <c r="F37" s="16"/>
      <c r="G37" s="16"/>
      <c r="H37" s="16"/>
      <c r="I37" s="16"/>
      <c r="J37" s="16"/>
      <c r="K37" s="16"/>
      <c r="L37" s="16"/>
      <c r="M37" s="16"/>
    </row>
    <row r="38" spans="1:13" ht="15" customHeight="1" x14ac:dyDescent="0.2">
      <c r="A38" s="11" t="s">
        <v>57</v>
      </c>
      <c r="B38" s="11">
        <v>1</v>
      </c>
      <c r="C38" s="12" t="str">
        <f>Setup!$D$26</f>
        <v>Belgium</v>
      </c>
      <c r="D38" s="12" t="str">
        <f>Setup!$D$27</f>
        <v>Egypt</v>
      </c>
      <c r="E38" s="11"/>
      <c r="F38" s="13"/>
      <c r="G38" s="13"/>
      <c r="H38" s="13"/>
      <c r="I38" s="13"/>
      <c r="J38" s="13"/>
      <c r="K38" s="13"/>
      <c r="L38" s="13"/>
      <c r="M38" s="13"/>
    </row>
    <row r="39" spans="1:13" ht="15" customHeight="1" x14ac:dyDescent="0.2">
      <c r="A39" s="11" t="s">
        <v>57</v>
      </c>
      <c r="B39" s="11">
        <v>2</v>
      </c>
      <c r="C39" s="12" t="str">
        <f>Setup!$D$26</f>
        <v>Belgium</v>
      </c>
      <c r="D39" s="12" t="str">
        <f>Setup!$D$28</f>
        <v>Iran</v>
      </c>
      <c r="E39" s="11"/>
      <c r="F39" s="13"/>
      <c r="G39" s="13"/>
      <c r="H39" s="13"/>
      <c r="I39" s="13"/>
      <c r="J39" s="13"/>
      <c r="K39" s="13"/>
      <c r="L39" s="13"/>
      <c r="M39" s="13"/>
    </row>
    <row r="40" spans="1:13" ht="15" customHeight="1" x14ac:dyDescent="0.2">
      <c r="A40" s="11" t="s">
        <v>57</v>
      </c>
      <c r="B40" s="11">
        <v>3</v>
      </c>
      <c r="C40" s="12" t="str">
        <f>Setup!$D$26</f>
        <v>Belgium</v>
      </c>
      <c r="D40" s="12" t="str">
        <f>Setup!$D$29</f>
        <v>New Zealand</v>
      </c>
      <c r="E40" s="11"/>
      <c r="F40" s="13"/>
      <c r="G40" s="13"/>
      <c r="H40" s="13"/>
      <c r="I40" s="13"/>
      <c r="J40" s="13"/>
      <c r="K40" s="13"/>
      <c r="L40" s="13"/>
      <c r="M40" s="13"/>
    </row>
    <row r="41" spans="1:13" ht="15" customHeight="1" x14ac:dyDescent="0.2">
      <c r="A41" s="11" t="s">
        <v>57</v>
      </c>
      <c r="B41" s="11">
        <v>4</v>
      </c>
      <c r="C41" s="12" t="str">
        <f>Setup!$D$27</f>
        <v>Egypt</v>
      </c>
      <c r="D41" s="12" t="str">
        <f>Setup!$D$28</f>
        <v>Iran</v>
      </c>
      <c r="E41" s="11"/>
      <c r="F41" s="13"/>
      <c r="G41" s="13"/>
      <c r="H41" s="13"/>
      <c r="I41" s="13"/>
      <c r="J41" s="13"/>
      <c r="K41" s="13"/>
      <c r="L41" s="13"/>
      <c r="M41" s="13"/>
    </row>
    <row r="42" spans="1:13" ht="15" customHeight="1" x14ac:dyDescent="0.2">
      <c r="A42" s="11" t="s">
        <v>57</v>
      </c>
      <c r="B42" s="11">
        <v>5</v>
      </c>
      <c r="C42" s="12" t="str">
        <f>Setup!$D$27</f>
        <v>Egypt</v>
      </c>
      <c r="D42" s="12" t="str">
        <f>Setup!$D$29</f>
        <v>New Zealand</v>
      </c>
      <c r="E42" s="11"/>
      <c r="F42" s="13"/>
      <c r="G42" s="13"/>
      <c r="H42" s="13"/>
      <c r="I42" s="13"/>
      <c r="J42" s="13"/>
      <c r="K42" s="13"/>
      <c r="L42" s="13"/>
      <c r="M42" s="13"/>
    </row>
    <row r="43" spans="1:13" ht="15" customHeight="1" x14ac:dyDescent="0.2">
      <c r="A43" s="11" t="s">
        <v>57</v>
      </c>
      <c r="B43" s="11">
        <v>6</v>
      </c>
      <c r="C43" s="12" t="str">
        <f>Setup!$D$28</f>
        <v>Iran</v>
      </c>
      <c r="D43" s="12" t="str">
        <f>Setup!$D$29</f>
        <v>New Zealand</v>
      </c>
      <c r="E43" s="11"/>
      <c r="F43" s="13"/>
      <c r="G43" s="13"/>
      <c r="H43" s="13"/>
      <c r="I43" s="13"/>
      <c r="J43" s="13"/>
      <c r="K43" s="13"/>
      <c r="L43" s="13"/>
      <c r="M43" s="13"/>
    </row>
    <row r="44" spans="1:13" ht="15" customHeight="1" x14ac:dyDescent="0.2">
      <c r="A44" s="14" t="s">
        <v>62</v>
      </c>
      <c r="B44" s="14">
        <v>1</v>
      </c>
      <c r="C44" s="15" t="str">
        <f>Setup!$D$30</f>
        <v>Spain</v>
      </c>
      <c r="D44" s="15" t="str">
        <f>Setup!$D$31</f>
        <v>Cape Verde</v>
      </c>
      <c r="E44" s="14"/>
      <c r="F44" s="16"/>
      <c r="G44" s="16"/>
      <c r="H44" s="16"/>
      <c r="I44" s="16"/>
      <c r="J44" s="16"/>
      <c r="K44" s="16"/>
      <c r="L44" s="16"/>
      <c r="M44" s="16"/>
    </row>
    <row r="45" spans="1:13" ht="15" customHeight="1" x14ac:dyDescent="0.2">
      <c r="A45" s="14" t="s">
        <v>62</v>
      </c>
      <c r="B45" s="14">
        <v>2</v>
      </c>
      <c r="C45" s="15" t="str">
        <f>Setup!$D$30</f>
        <v>Spain</v>
      </c>
      <c r="D45" s="15" t="str">
        <f>Setup!$D$32</f>
        <v>Saudi Arabia</v>
      </c>
      <c r="E45" s="14"/>
      <c r="F45" s="16"/>
      <c r="G45" s="16"/>
      <c r="H45" s="16"/>
      <c r="I45" s="16"/>
      <c r="J45" s="16"/>
      <c r="K45" s="16"/>
      <c r="L45" s="16"/>
      <c r="M45" s="16"/>
    </row>
    <row r="46" spans="1:13" ht="15" customHeight="1" x14ac:dyDescent="0.2">
      <c r="A46" s="14" t="s">
        <v>62</v>
      </c>
      <c r="B46" s="14">
        <v>3</v>
      </c>
      <c r="C46" s="15" t="str">
        <f>Setup!$D$30</f>
        <v>Spain</v>
      </c>
      <c r="D46" s="15" t="str">
        <f>Setup!$D$33</f>
        <v>Uruguay</v>
      </c>
      <c r="E46" s="14"/>
      <c r="F46" s="16"/>
      <c r="G46" s="16"/>
      <c r="H46" s="16"/>
      <c r="I46" s="16"/>
      <c r="J46" s="16"/>
      <c r="K46" s="16"/>
      <c r="L46" s="16"/>
      <c r="M46" s="16"/>
    </row>
    <row r="47" spans="1:13" ht="15" customHeight="1" x14ac:dyDescent="0.2">
      <c r="A47" s="14" t="s">
        <v>62</v>
      </c>
      <c r="B47" s="14">
        <v>4</v>
      </c>
      <c r="C47" s="15" t="str">
        <f>Setup!$D$31</f>
        <v>Cape Verde</v>
      </c>
      <c r="D47" s="15" t="str">
        <f>Setup!$D$32</f>
        <v>Saudi Arabia</v>
      </c>
      <c r="E47" s="14"/>
      <c r="F47" s="16"/>
      <c r="G47" s="16"/>
      <c r="H47" s="16"/>
      <c r="I47" s="16"/>
      <c r="J47" s="16"/>
      <c r="K47" s="16"/>
      <c r="L47" s="16"/>
      <c r="M47" s="16"/>
    </row>
    <row r="48" spans="1:13" ht="15" customHeight="1" x14ac:dyDescent="0.2">
      <c r="A48" s="14" t="s">
        <v>62</v>
      </c>
      <c r="B48" s="14">
        <v>5</v>
      </c>
      <c r="C48" s="15" t="str">
        <f>Setup!$D$31</f>
        <v>Cape Verde</v>
      </c>
      <c r="D48" s="15" t="str">
        <f>Setup!$D$33</f>
        <v>Uruguay</v>
      </c>
      <c r="E48" s="14"/>
      <c r="F48" s="16"/>
      <c r="G48" s="16"/>
      <c r="H48" s="16"/>
      <c r="I48" s="16"/>
      <c r="J48" s="16"/>
      <c r="K48" s="16"/>
      <c r="L48" s="16"/>
      <c r="M48" s="16"/>
    </row>
    <row r="49" spans="1:13" ht="15" customHeight="1" x14ac:dyDescent="0.2">
      <c r="A49" s="14" t="s">
        <v>62</v>
      </c>
      <c r="B49" s="14">
        <v>6</v>
      </c>
      <c r="C49" s="15" t="str">
        <f>Setup!$D$32</f>
        <v>Saudi Arabia</v>
      </c>
      <c r="D49" s="15" t="str">
        <f>Setup!$D$33</f>
        <v>Uruguay</v>
      </c>
      <c r="E49" s="14"/>
      <c r="F49" s="16"/>
      <c r="G49" s="16"/>
      <c r="H49" s="16"/>
      <c r="I49" s="16"/>
      <c r="J49" s="16"/>
      <c r="K49" s="16"/>
      <c r="L49" s="16"/>
      <c r="M49" s="16"/>
    </row>
    <row r="50" spans="1:13" ht="15" customHeight="1" x14ac:dyDescent="0.2">
      <c r="A50" s="11" t="s">
        <v>67</v>
      </c>
      <c r="B50" s="11">
        <v>1</v>
      </c>
      <c r="C50" s="12" t="str">
        <f>Setup!$D$34</f>
        <v>France</v>
      </c>
      <c r="D50" s="12" t="str">
        <f>Setup!$D$35</f>
        <v>Senegal</v>
      </c>
      <c r="E50" s="11"/>
      <c r="F50" s="13"/>
      <c r="G50" s="13"/>
      <c r="H50" s="13"/>
      <c r="I50" s="13"/>
      <c r="J50" s="13"/>
      <c r="K50" s="13"/>
      <c r="L50" s="13"/>
      <c r="M50" s="13"/>
    </row>
    <row r="51" spans="1:13" ht="15" customHeight="1" x14ac:dyDescent="0.2">
      <c r="A51" s="11" t="s">
        <v>67</v>
      </c>
      <c r="B51" s="11">
        <v>2</v>
      </c>
      <c r="C51" s="12" t="str">
        <f>Setup!$D$34</f>
        <v>France</v>
      </c>
      <c r="D51" s="12" t="str">
        <f>Setup!$D$36</f>
        <v>Iraq</v>
      </c>
      <c r="E51" s="11"/>
      <c r="F51" s="13"/>
      <c r="G51" s="13"/>
      <c r="H51" s="13"/>
      <c r="I51" s="13"/>
      <c r="J51" s="13"/>
      <c r="K51" s="13"/>
      <c r="L51" s="13"/>
      <c r="M51" s="13"/>
    </row>
    <row r="52" spans="1:13" ht="15" customHeight="1" x14ac:dyDescent="0.2">
      <c r="A52" s="11" t="s">
        <v>67</v>
      </c>
      <c r="B52" s="11">
        <v>3</v>
      </c>
      <c r="C52" s="12" t="str">
        <f>Setup!$D$34</f>
        <v>France</v>
      </c>
      <c r="D52" s="12" t="str">
        <f>Setup!$D$37</f>
        <v>Norway</v>
      </c>
      <c r="E52" s="11"/>
      <c r="F52" s="13"/>
      <c r="G52" s="13"/>
      <c r="H52" s="13"/>
      <c r="I52" s="13"/>
      <c r="J52" s="13"/>
      <c r="K52" s="13"/>
      <c r="L52" s="13"/>
      <c r="M52" s="13"/>
    </row>
    <row r="53" spans="1:13" ht="15" customHeight="1" x14ac:dyDescent="0.2">
      <c r="A53" s="11" t="s">
        <v>67</v>
      </c>
      <c r="B53" s="11">
        <v>4</v>
      </c>
      <c r="C53" s="12" t="str">
        <f>Setup!$D$35</f>
        <v>Senegal</v>
      </c>
      <c r="D53" s="12" t="str">
        <f>Setup!$D$36</f>
        <v>Iraq</v>
      </c>
      <c r="E53" s="11"/>
      <c r="F53" s="13"/>
      <c r="G53" s="13"/>
      <c r="H53" s="13"/>
      <c r="I53" s="13"/>
      <c r="J53" s="13"/>
      <c r="K53" s="13"/>
      <c r="L53" s="13"/>
      <c r="M53" s="13"/>
    </row>
    <row r="54" spans="1:13" ht="15" customHeight="1" x14ac:dyDescent="0.2">
      <c r="A54" s="11" t="s">
        <v>67</v>
      </c>
      <c r="B54" s="11">
        <v>5</v>
      </c>
      <c r="C54" s="12" t="str">
        <f>Setup!$D$35</f>
        <v>Senegal</v>
      </c>
      <c r="D54" s="12" t="str">
        <f>Setup!$D$37</f>
        <v>Norway</v>
      </c>
      <c r="E54" s="11"/>
      <c r="F54" s="13"/>
      <c r="G54" s="13"/>
      <c r="H54" s="13"/>
      <c r="I54" s="13"/>
      <c r="J54" s="13"/>
      <c r="K54" s="13"/>
      <c r="L54" s="13"/>
      <c r="M54" s="13"/>
    </row>
    <row r="55" spans="1:13" ht="15" customHeight="1" x14ac:dyDescent="0.2">
      <c r="A55" s="11" t="s">
        <v>67</v>
      </c>
      <c r="B55" s="11">
        <v>6</v>
      </c>
      <c r="C55" s="12" t="str">
        <f>Setup!$D$36</f>
        <v>Iraq</v>
      </c>
      <c r="D55" s="12" t="str">
        <f>Setup!$D$37</f>
        <v>Norway</v>
      </c>
      <c r="E55" s="11"/>
      <c r="F55" s="13"/>
      <c r="G55" s="13"/>
      <c r="H55" s="13"/>
      <c r="I55" s="13"/>
      <c r="J55" s="13"/>
      <c r="K55" s="13"/>
      <c r="L55" s="13"/>
      <c r="M55" s="13"/>
    </row>
    <row r="56" spans="1:13" ht="15" customHeight="1" x14ac:dyDescent="0.2">
      <c r="A56" s="14" t="s">
        <v>72</v>
      </c>
      <c r="B56" s="14">
        <v>1</v>
      </c>
      <c r="C56" s="15" t="str">
        <f>Setup!$D$38</f>
        <v>Argentina</v>
      </c>
      <c r="D56" s="15" t="str">
        <f>Setup!$D$39</f>
        <v>Algeria</v>
      </c>
      <c r="E56" s="14"/>
      <c r="F56" s="16"/>
      <c r="G56" s="16"/>
      <c r="H56" s="16"/>
      <c r="I56" s="16"/>
      <c r="J56" s="16"/>
      <c r="K56" s="16"/>
      <c r="L56" s="16"/>
      <c r="M56" s="16"/>
    </row>
    <row r="57" spans="1:13" ht="15" customHeight="1" x14ac:dyDescent="0.2">
      <c r="A57" s="14" t="s">
        <v>72</v>
      </c>
      <c r="B57" s="14">
        <v>2</v>
      </c>
      <c r="C57" s="15" t="str">
        <f>Setup!$D$38</f>
        <v>Argentina</v>
      </c>
      <c r="D57" s="15" t="str">
        <f>Setup!$D$40</f>
        <v>Austria</v>
      </c>
      <c r="E57" s="14"/>
      <c r="F57" s="16"/>
      <c r="G57" s="16"/>
      <c r="H57" s="16"/>
      <c r="I57" s="16"/>
      <c r="J57" s="16"/>
      <c r="K57" s="16"/>
      <c r="L57" s="16"/>
      <c r="M57" s="16"/>
    </row>
    <row r="58" spans="1:13" ht="15" customHeight="1" x14ac:dyDescent="0.2">
      <c r="A58" s="14" t="s">
        <v>72</v>
      </c>
      <c r="B58" s="14">
        <v>3</v>
      </c>
      <c r="C58" s="15" t="str">
        <f>Setup!$D$38</f>
        <v>Argentina</v>
      </c>
      <c r="D58" s="15" t="str">
        <f>Setup!$D$41</f>
        <v>Jordan</v>
      </c>
      <c r="E58" s="14"/>
      <c r="F58" s="16"/>
      <c r="G58" s="16"/>
      <c r="H58" s="16"/>
      <c r="I58" s="16"/>
      <c r="J58" s="16"/>
      <c r="K58" s="16"/>
      <c r="L58" s="16"/>
      <c r="M58" s="16"/>
    </row>
    <row r="59" spans="1:13" ht="15" customHeight="1" x14ac:dyDescent="0.2">
      <c r="A59" s="14" t="s">
        <v>72</v>
      </c>
      <c r="B59" s="14">
        <v>4</v>
      </c>
      <c r="C59" s="15" t="str">
        <f>Setup!$D$39</f>
        <v>Algeria</v>
      </c>
      <c r="D59" s="15" t="str">
        <f>Setup!$D$40</f>
        <v>Austria</v>
      </c>
      <c r="E59" s="14"/>
      <c r="F59" s="16"/>
      <c r="G59" s="16"/>
      <c r="H59" s="16"/>
      <c r="I59" s="16"/>
      <c r="J59" s="16"/>
      <c r="K59" s="16"/>
      <c r="L59" s="16"/>
      <c r="M59" s="16"/>
    </row>
    <row r="60" spans="1:13" ht="15" customHeight="1" x14ac:dyDescent="0.2">
      <c r="A60" s="14" t="s">
        <v>72</v>
      </c>
      <c r="B60" s="14">
        <v>5</v>
      </c>
      <c r="C60" s="15" t="str">
        <f>Setup!$D$39</f>
        <v>Algeria</v>
      </c>
      <c r="D60" s="15" t="str">
        <f>Setup!$D$41</f>
        <v>Jordan</v>
      </c>
      <c r="E60" s="14"/>
      <c r="F60" s="16"/>
      <c r="G60" s="16"/>
      <c r="H60" s="16"/>
      <c r="I60" s="16"/>
      <c r="J60" s="16"/>
      <c r="K60" s="16"/>
      <c r="L60" s="16"/>
      <c r="M60" s="16"/>
    </row>
    <row r="61" spans="1:13" ht="15" customHeight="1" x14ac:dyDescent="0.2">
      <c r="A61" s="14" t="s">
        <v>72</v>
      </c>
      <c r="B61" s="14">
        <v>6</v>
      </c>
      <c r="C61" s="15" t="str">
        <f>Setup!$D$40</f>
        <v>Austria</v>
      </c>
      <c r="D61" s="15" t="str">
        <f>Setup!$D$41</f>
        <v>Jordan</v>
      </c>
      <c r="E61" s="14"/>
      <c r="F61" s="16"/>
      <c r="G61" s="16"/>
      <c r="H61" s="16"/>
      <c r="I61" s="16"/>
      <c r="J61" s="16"/>
      <c r="K61" s="16"/>
      <c r="L61" s="16"/>
      <c r="M61" s="16"/>
    </row>
    <row r="62" spans="1:13" ht="15" customHeight="1" x14ac:dyDescent="0.2">
      <c r="A62" s="11" t="s">
        <v>77</v>
      </c>
      <c r="B62" s="11">
        <v>1</v>
      </c>
      <c r="C62" s="12" t="str">
        <f>Setup!$D$42</f>
        <v>Portugal</v>
      </c>
      <c r="D62" s="12" t="str">
        <f>Setup!$D$43</f>
        <v>DR Congo</v>
      </c>
      <c r="E62" s="11"/>
      <c r="F62" s="13"/>
      <c r="G62" s="13"/>
      <c r="H62" s="13"/>
      <c r="I62" s="13"/>
      <c r="J62" s="13"/>
      <c r="K62" s="13"/>
      <c r="L62" s="13"/>
      <c r="M62" s="13"/>
    </row>
    <row r="63" spans="1:13" ht="15" customHeight="1" x14ac:dyDescent="0.2">
      <c r="A63" s="11" t="s">
        <v>77</v>
      </c>
      <c r="B63" s="11">
        <v>2</v>
      </c>
      <c r="C63" s="12" t="str">
        <f>Setup!$D$42</f>
        <v>Portugal</v>
      </c>
      <c r="D63" s="12" t="str">
        <f>Setup!$D$44</f>
        <v>Uzbekistan</v>
      </c>
      <c r="E63" s="11"/>
      <c r="F63" s="13"/>
      <c r="G63" s="13"/>
      <c r="H63" s="13"/>
      <c r="I63" s="13"/>
      <c r="J63" s="13"/>
      <c r="K63" s="13"/>
      <c r="L63" s="13"/>
      <c r="M63" s="13"/>
    </row>
    <row r="64" spans="1:13" ht="15" customHeight="1" x14ac:dyDescent="0.2">
      <c r="A64" s="11" t="s">
        <v>77</v>
      </c>
      <c r="B64" s="11">
        <v>3</v>
      </c>
      <c r="C64" s="12" t="str">
        <f>Setup!$D$42</f>
        <v>Portugal</v>
      </c>
      <c r="D64" s="12" t="str">
        <f>Setup!$D$45</f>
        <v>Colombia</v>
      </c>
      <c r="E64" s="11"/>
      <c r="F64" s="13"/>
      <c r="G64" s="13"/>
      <c r="H64" s="13"/>
      <c r="I64" s="13"/>
      <c r="J64" s="13"/>
      <c r="K64" s="13"/>
      <c r="L64" s="13"/>
      <c r="M64" s="13"/>
    </row>
    <row r="65" spans="1:13" ht="15" customHeight="1" x14ac:dyDescent="0.2">
      <c r="A65" s="11" t="s">
        <v>77</v>
      </c>
      <c r="B65" s="11">
        <v>4</v>
      </c>
      <c r="C65" s="12" t="str">
        <f>Setup!$D$43</f>
        <v>DR Congo</v>
      </c>
      <c r="D65" s="12" t="str">
        <f>Setup!$D$44</f>
        <v>Uzbekistan</v>
      </c>
      <c r="E65" s="11"/>
      <c r="F65" s="13"/>
      <c r="G65" s="13"/>
      <c r="H65" s="13"/>
      <c r="I65" s="13"/>
      <c r="J65" s="13"/>
      <c r="K65" s="13"/>
      <c r="L65" s="13"/>
      <c r="M65" s="13"/>
    </row>
    <row r="66" spans="1:13" ht="15" customHeight="1" x14ac:dyDescent="0.2">
      <c r="A66" s="11" t="s">
        <v>77</v>
      </c>
      <c r="B66" s="11">
        <v>5</v>
      </c>
      <c r="C66" s="12" t="str">
        <f>Setup!$D$43</f>
        <v>DR Congo</v>
      </c>
      <c r="D66" s="12" t="str">
        <f>Setup!$D$45</f>
        <v>Colombia</v>
      </c>
      <c r="E66" s="11"/>
      <c r="F66" s="13"/>
      <c r="G66" s="13"/>
      <c r="H66" s="13"/>
      <c r="I66" s="13"/>
      <c r="J66" s="13"/>
      <c r="K66" s="13"/>
      <c r="L66" s="13"/>
      <c r="M66" s="13"/>
    </row>
    <row r="67" spans="1:13" ht="15" customHeight="1" x14ac:dyDescent="0.2">
      <c r="A67" s="11" t="s">
        <v>77</v>
      </c>
      <c r="B67" s="11">
        <v>6</v>
      </c>
      <c r="C67" s="12" t="str">
        <f>Setup!$D$44</f>
        <v>Uzbekistan</v>
      </c>
      <c r="D67" s="12" t="str">
        <f>Setup!$D$45</f>
        <v>Colombia</v>
      </c>
      <c r="E67" s="11"/>
      <c r="F67" s="13"/>
      <c r="G67" s="13"/>
      <c r="H67" s="13"/>
      <c r="I67" s="13"/>
      <c r="J67" s="13"/>
      <c r="K67" s="13"/>
      <c r="L67" s="13"/>
      <c r="M67" s="13"/>
    </row>
    <row r="68" spans="1:13" ht="15" customHeight="1" x14ac:dyDescent="0.2">
      <c r="A68" s="14" t="s">
        <v>82</v>
      </c>
      <c r="B68" s="14">
        <v>1</v>
      </c>
      <c r="C68" s="15" t="str">
        <f>Setup!$D$46</f>
        <v>England</v>
      </c>
      <c r="D68" s="15" t="str">
        <f>Setup!$D$47</f>
        <v>Croatia</v>
      </c>
      <c r="E68" s="14"/>
      <c r="F68" s="16"/>
      <c r="G68" s="16"/>
      <c r="H68" s="16"/>
      <c r="I68" s="16"/>
      <c r="J68" s="16"/>
      <c r="K68" s="16"/>
      <c r="L68" s="16"/>
      <c r="M68" s="16"/>
    </row>
    <row r="69" spans="1:13" ht="15" customHeight="1" x14ac:dyDescent="0.2">
      <c r="A69" s="14" t="s">
        <v>82</v>
      </c>
      <c r="B69" s="14">
        <v>2</v>
      </c>
      <c r="C69" s="15" t="str">
        <f>Setup!$D$46</f>
        <v>England</v>
      </c>
      <c r="D69" s="15" t="str">
        <f>Setup!$D$48</f>
        <v>Ghana</v>
      </c>
      <c r="E69" s="14"/>
      <c r="F69" s="16"/>
      <c r="G69" s="16"/>
      <c r="H69" s="16"/>
      <c r="I69" s="16"/>
      <c r="J69" s="16"/>
      <c r="K69" s="16"/>
      <c r="L69" s="16"/>
      <c r="M69" s="16"/>
    </row>
    <row r="70" spans="1:13" ht="15" customHeight="1" x14ac:dyDescent="0.2">
      <c r="A70" s="14" t="s">
        <v>82</v>
      </c>
      <c r="B70" s="14">
        <v>3</v>
      </c>
      <c r="C70" s="15" t="str">
        <f>Setup!$D$46</f>
        <v>England</v>
      </c>
      <c r="D70" s="15" t="str">
        <f>Setup!$D$49</f>
        <v>Panama</v>
      </c>
      <c r="E70" s="14"/>
      <c r="F70" s="16"/>
      <c r="G70" s="16"/>
      <c r="H70" s="16"/>
      <c r="I70" s="16"/>
      <c r="J70" s="16"/>
      <c r="K70" s="16"/>
      <c r="L70" s="16"/>
      <c r="M70" s="16"/>
    </row>
    <row r="71" spans="1:13" ht="15" customHeight="1" x14ac:dyDescent="0.2">
      <c r="A71" s="14" t="s">
        <v>82</v>
      </c>
      <c r="B71" s="14">
        <v>4</v>
      </c>
      <c r="C71" s="15" t="str">
        <f>Setup!$D$47</f>
        <v>Croatia</v>
      </c>
      <c r="D71" s="15" t="str">
        <f>Setup!$D$48</f>
        <v>Ghana</v>
      </c>
      <c r="E71" s="14"/>
      <c r="F71" s="16"/>
      <c r="G71" s="16"/>
      <c r="H71" s="16"/>
      <c r="I71" s="16"/>
      <c r="J71" s="16"/>
      <c r="K71" s="16"/>
      <c r="L71" s="16"/>
      <c r="M71" s="16"/>
    </row>
    <row r="72" spans="1:13" ht="15" customHeight="1" x14ac:dyDescent="0.2">
      <c r="A72" s="14" t="s">
        <v>82</v>
      </c>
      <c r="B72" s="14">
        <v>5</v>
      </c>
      <c r="C72" s="15" t="str">
        <f>Setup!$D$47</f>
        <v>Croatia</v>
      </c>
      <c r="D72" s="15" t="str">
        <f>Setup!$D$49</f>
        <v>Panama</v>
      </c>
      <c r="E72" s="14"/>
      <c r="F72" s="16"/>
      <c r="G72" s="16"/>
      <c r="H72" s="16"/>
      <c r="I72" s="16"/>
      <c r="J72" s="16"/>
      <c r="K72" s="16"/>
      <c r="L72" s="16"/>
      <c r="M72" s="16"/>
    </row>
    <row r="73" spans="1:13" ht="15" customHeight="1" x14ac:dyDescent="0.2">
      <c r="A73" s="14" t="s">
        <v>82</v>
      </c>
      <c r="B73" s="14">
        <v>6</v>
      </c>
      <c r="C73" s="15" t="str">
        <f>Setup!$D$48</f>
        <v>Ghana</v>
      </c>
      <c r="D73" s="15" t="str">
        <f>Setup!$D$49</f>
        <v>Panama</v>
      </c>
      <c r="E73" s="14"/>
      <c r="F73" s="16"/>
      <c r="G73" s="16"/>
      <c r="H73" s="16"/>
      <c r="I73" s="16"/>
      <c r="J73" s="16"/>
      <c r="K73" s="16"/>
      <c r="L73" s="16"/>
      <c r="M73" s="16"/>
    </row>
    <row r="75" spans="1:13" ht="15" customHeight="1" x14ac:dyDescent="0.2">
      <c r="A75" s="17" t="s">
        <v>92</v>
      </c>
    </row>
  </sheetData>
  <dataValidations count="1">
    <dataValidation type="list" allowBlank="1" sqref="E2:M73" xr:uid="{00000000-0002-0000-0200-000000000000}">
      <formula1>"1,X,2"</formula1>
      <formula2>0</formula2>
    </dataValidation>
  </dataValidations>
  <printOptions horizontalCentered="1"/>
  <pageMargins left="0.2" right="0.2" top="0.3" bottom="0.3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84"/>
  <sheetViews>
    <sheetView showGridLines="0" zoomScaleNormal="100" workbookViewId="0">
      <pane xSplit="1" topLeftCell="B1" activePane="topRight" state="frozen"/>
      <selection pane="topRight"/>
    </sheetView>
  </sheetViews>
  <sheetFormatPr baseColWidth="10" defaultColWidth="8.6640625" defaultRowHeight="15" x14ac:dyDescent="0.2"/>
  <cols>
    <col min="1" max="1" width="26" customWidth="1"/>
    <col min="2" max="9" width="16" customWidth="1"/>
  </cols>
  <sheetData>
    <row r="1" spans="1:9" ht="15" customHeight="1" x14ac:dyDescent="0.2">
      <c r="A1" s="18" t="s">
        <v>93</v>
      </c>
      <c r="B1" s="19"/>
      <c r="C1" s="19"/>
      <c r="D1" s="19"/>
      <c r="E1" s="19"/>
      <c r="F1" s="19"/>
      <c r="G1" s="19"/>
      <c r="H1" s="19"/>
      <c r="I1" s="19"/>
    </row>
    <row r="2" spans="1:9" ht="15" customHeight="1" x14ac:dyDescent="0.2">
      <c r="A2" s="20" t="s">
        <v>94</v>
      </c>
      <c r="B2" s="20" t="s">
        <v>18</v>
      </c>
      <c r="C2" s="20" t="s">
        <v>21</v>
      </c>
      <c r="D2" s="20" t="s">
        <v>23</v>
      </c>
      <c r="E2" s="20" t="s">
        <v>25</v>
      </c>
      <c r="F2" s="20" t="s">
        <v>27</v>
      </c>
      <c r="G2" s="20" t="s">
        <v>30</v>
      </c>
      <c r="H2" s="20" t="s">
        <v>32</v>
      </c>
      <c r="I2" s="20" t="s">
        <v>34</v>
      </c>
    </row>
    <row r="3" spans="1:9" ht="15" customHeight="1" x14ac:dyDescent="0.2">
      <c r="A3" s="21"/>
      <c r="B3" s="16"/>
      <c r="C3" s="16"/>
      <c r="D3" s="16"/>
      <c r="E3" s="16"/>
      <c r="F3" s="16"/>
      <c r="G3" s="16"/>
      <c r="H3" s="16"/>
      <c r="I3" s="16"/>
    </row>
    <row r="4" spans="1:9" ht="15" customHeight="1" x14ac:dyDescent="0.2">
      <c r="A4" s="21"/>
      <c r="B4" s="16"/>
      <c r="C4" s="16"/>
      <c r="D4" s="16"/>
      <c r="E4" s="16"/>
      <c r="F4" s="16"/>
      <c r="G4" s="16"/>
      <c r="H4" s="16"/>
      <c r="I4" s="16"/>
    </row>
    <row r="5" spans="1:9" ht="15" customHeight="1" x14ac:dyDescent="0.2">
      <c r="A5" s="21"/>
      <c r="B5" s="16"/>
      <c r="C5" s="16"/>
      <c r="D5" s="16"/>
      <c r="E5" s="16"/>
      <c r="F5" s="16"/>
      <c r="G5" s="16"/>
      <c r="H5" s="16"/>
      <c r="I5" s="16"/>
    </row>
    <row r="6" spans="1:9" ht="15" customHeight="1" x14ac:dyDescent="0.2">
      <c r="A6" s="21"/>
      <c r="B6" s="16"/>
      <c r="C6" s="16"/>
      <c r="D6" s="16"/>
      <c r="E6" s="16"/>
      <c r="F6" s="16"/>
      <c r="G6" s="16"/>
      <c r="H6" s="16"/>
      <c r="I6" s="16"/>
    </row>
    <row r="7" spans="1:9" ht="15" customHeight="1" x14ac:dyDescent="0.2">
      <c r="A7" s="21"/>
      <c r="B7" s="16"/>
      <c r="C7" s="16"/>
      <c r="D7" s="16"/>
      <c r="E7" s="16"/>
      <c r="F7" s="16"/>
      <c r="G7" s="16"/>
      <c r="H7" s="16"/>
      <c r="I7" s="16"/>
    </row>
    <row r="8" spans="1:9" ht="15" customHeight="1" x14ac:dyDescent="0.2">
      <c r="A8" s="21"/>
      <c r="B8" s="16"/>
      <c r="C8" s="16"/>
      <c r="D8" s="16"/>
      <c r="E8" s="16"/>
      <c r="F8" s="16"/>
      <c r="G8" s="16"/>
      <c r="H8" s="16"/>
      <c r="I8" s="16"/>
    </row>
    <row r="9" spans="1:9" ht="15" customHeight="1" x14ac:dyDescent="0.2">
      <c r="A9" s="21"/>
      <c r="B9" s="16"/>
      <c r="C9" s="16"/>
      <c r="D9" s="16"/>
      <c r="E9" s="16"/>
      <c r="F9" s="16"/>
      <c r="G9" s="16"/>
      <c r="H9" s="16"/>
      <c r="I9" s="16"/>
    </row>
    <row r="10" spans="1:9" ht="15" customHeight="1" x14ac:dyDescent="0.2">
      <c r="A10" s="21"/>
      <c r="B10" s="16"/>
      <c r="C10" s="16"/>
      <c r="D10" s="16"/>
      <c r="E10" s="16"/>
      <c r="F10" s="16"/>
      <c r="G10" s="16"/>
      <c r="H10" s="16"/>
      <c r="I10" s="16"/>
    </row>
    <row r="11" spans="1:9" ht="15" customHeight="1" x14ac:dyDescent="0.2">
      <c r="A11" s="21"/>
      <c r="B11" s="16"/>
      <c r="C11" s="16"/>
      <c r="D11" s="16"/>
      <c r="E11" s="16"/>
      <c r="F11" s="16"/>
      <c r="G11" s="16"/>
      <c r="H11" s="16"/>
      <c r="I11" s="16"/>
    </row>
    <row r="12" spans="1:9" ht="15" customHeight="1" x14ac:dyDescent="0.2">
      <c r="A12" s="21"/>
      <c r="B12" s="16"/>
      <c r="C12" s="16"/>
      <c r="D12" s="16"/>
      <c r="E12" s="16"/>
      <c r="F12" s="16"/>
      <c r="G12" s="16"/>
      <c r="H12" s="16"/>
      <c r="I12" s="16"/>
    </row>
    <row r="13" spans="1:9" ht="15" customHeight="1" x14ac:dyDescent="0.2">
      <c r="A13" s="21"/>
      <c r="B13" s="16"/>
      <c r="C13" s="16"/>
      <c r="D13" s="16"/>
      <c r="E13" s="16"/>
      <c r="F13" s="16"/>
      <c r="G13" s="16"/>
      <c r="H13" s="16"/>
      <c r="I13" s="16"/>
    </row>
    <row r="14" spans="1:9" ht="15" customHeight="1" x14ac:dyDescent="0.2">
      <c r="A14" s="21"/>
      <c r="B14" s="16"/>
      <c r="C14" s="16"/>
      <c r="D14" s="16"/>
      <c r="E14" s="16"/>
      <c r="F14" s="16"/>
      <c r="G14" s="16"/>
      <c r="H14" s="16"/>
      <c r="I14" s="16"/>
    </row>
    <row r="15" spans="1:9" ht="15" customHeight="1" x14ac:dyDescent="0.2">
      <c r="A15" s="21"/>
      <c r="B15" s="16"/>
      <c r="C15" s="16"/>
      <c r="D15" s="16"/>
      <c r="E15" s="16"/>
      <c r="F15" s="16"/>
      <c r="G15" s="16"/>
      <c r="H15" s="16"/>
      <c r="I15" s="16"/>
    </row>
    <row r="16" spans="1:9" ht="15" customHeight="1" x14ac:dyDescent="0.2">
      <c r="A16" s="21"/>
      <c r="B16" s="16"/>
      <c r="C16" s="16"/>
      <c r="D16" s="16"/>
      <c r="E16" s="16"/>
      <c r="F16" s="16"/>
      <c r="G16" s="16"/>
      <c r="H16" s="16"/>
      <c r="I16" s="16"/>
    </row>
    <row r="17" spans="1:9" ht="15" customHeight="1" x14ac:dyDescent="0.2">
      <c r="A17" s="21"/>
      <c r="B17" s="16"/>
      <c r="C17" s="16"/>
      <c r="D17" s="16"/>
      <c r="E17" s="16"/>
      <c r="F17" s="16"/>
      <c r="G17" s="16"/>
      <c r="H17" s="16"/>
      <c r="I17" s="16"/>
    </row>
    <row r="18" spans="1:9" ht="15" customHeight="1" x14ac:dyDescent="0.2">
      <c r="A18" s="21"/>
      <c r="B18" s="16"/>
      <c r="C18" s="16"/>
      <c r="D18" s="16"/>
      <c r="E18" s="16"/>
      <c r="F18" s="16"/>
      <c r="G18" s="16"/>
      <c r="H18" s="16"/>
      <c r="I18" s="16"/>
    </row>
    <row r="19" spans="1:9" ht="15" customHeight="1" x14ac:dyDescent="0.2">
      <c r="A19" s="21"/>
      <c r="B19" s="16"/>
      <c r="C19" s="16"/>
      <c r="D19" s="16"/>
      <c r="E19" s="16"/>
      <c r="F19" s="16"/>
      <c r="G19" s="16"/>
      <c r="H19" s="16"/>
      <c r="I19" s="16"/>
    </row>
    <row r="20" spans="1:9" ht="15" customHeight="1" x14ac:dyDescent="0.2">
      <c r="A20" s="21"/>
      <c r="B20" s="16"/>
      <c r="C20" s="16"/>
      <c r="D20" s="16"/>
      <c r="E20" s="16"/>
      <c r="F20" s="16"/>
      <c r="G20" s="16"/>
      <c r="H20" s="16"/>
      <c r="I20" s="16"/>
    </row>
    <row r="21" spans="1:9" ht="15" customHeight="1" x14ac:dyDescent="0.2">
      <c r="A21" s="21"/>
      <c r="B21" s="16"/>
      <c r="C21" s="16"/>
      <c r="D21" s="16"/>
      <c r="E21" s="16"/>
      <c r="F21" s="16"/>
      <c r="G21" s="16"/>
      <c r="H21" s="16"/>
      <c r="I21" s="16"/>
    </row>
    <row r="22" spans="1:9" ht="15" customHeight="1" x14ac:dyDescent="0.2">
      <c r="A22" s="21"/>
      <c r="B22" s="16"/>
      <c r="C22" s="16"/>
      <c r="D22" s="16"/>
      <c r="E22" s="16"/>
      <c r="F22" s="16"/>
      <c r="G22" s="16"/>
      <c r="H22" s="16"/>
      <c r="I22" s="16"/>
    </row>
    <row r="23" spans="1:9" ht="15" customHeight="1" x14ac:dyDescent="0.2">
      <c r="A23" s="21"/>
      <c r="B23" s="16"/>
      <c r="C23" s="16"/>
      <c r="D23" s="16"/>
      <c r="E23" s="16"/>
      <c r="F23" s="16"/>
      <c r="G23" s="16"/>
      <c r="H23" s="16"/>
      <c r="I23" s="16"/>
    </row>
    <row r="24" spans="1:9" ht="15" customHeight="1" x14ac:dyDescent="0.2">
      <c r="A24" s="21"/>
      <c r="B24" s="16"/>
      <c r="C24" s="16"/>
      <c r="D24" s="16"/>
      <c r="E24" s="16"/>
      <c r="F24" s="16"/>
      <c r="G24" s="16"/>
      <c r="H24" s="16"/>
      <c r="I24" s="16"/>
    </row>
    <row r="25" spans="1:9" ht="15" customHeight="1" x14ac:dyDescent="0.2">
      <c r="A25" s="21"/>
      <c r="B25" s="16"/>
      <c r="C25" s="16"/>
      <c r="D25" s="16"/>
      <c r="E25" s="16"/>
      <c r="F25" s="16"/>
      <c r="G25" s="16"/>
      <c r="H25" s="16"/>
      <c r="I25" s="16"/>
    </row>
    <row r="26" spans="1:9" ht="15" customHeight="1" x14ac:dyDescent="0.2">
      <c r="A26" s="21"/>
      <c r="B26" s="16"/>
      <c r="C26" s="16"/>
      <c r="D26" s="16"/>
      <c r="E26" s="16"/>
      <c r="F26" s="16"/>
      <c r="G26" s="16"/>
      <c r="H26" s="16"/>
      <c r="I26" s="16"/>
    </row>
    <row r="27" spans="1:9" ht="15" customHeight="1" x14ac:dyDescent="0.2">
      <c r="A27" s="21"/>
      <c r="B27" s="16"/>
      <c r="C27" s="16"/>
      <c r="D27" s="16"/>
      <c r="E27" s="16"/>
      <c r="F27" s="16"/>
      <c r="G27" s="16"/>
      <c r="H27" s="16"/>
      <c r="I27" s="16"/>
    </row>
    <row r="28" spans="1:9" ht="15" customHeight="1" x14ac:dyDescent="0.2">
      <c r="A28" s="21"/>
      <c r="B28" s="16"/>
      <c r="C28" s="16"/>
      <c r="D28" s="16"/>
      <c r="E28" s="16"/>
      <c r="F28" s="16"/>
      <c r="G28" s="16"/>
      <c r="H28" s="16"/>
      <c r="I28" s="16"/>
    </row>
    <row r="29" spans="1:9" ht="15" customHeight="1" x14ac:dyDescent="0.2">
      <c r="A29" s="21"/>
      <c r="B29" s="16"/>
      <c r="C29" s="16"/>
      <c r="D29" s="16"/>
      <c r="E29" s="16"/>
      <c r="F29" s="16"/>
      <c r="G29" s="16"/>
      <c r="H29" s="16"/>
      <c r="I29" s="16"/>
    </row>
    <row r="30" spans="1:9" ht="15" customHeight="1" x14ac:dyDescent="0.2">
      <c r="A30" s="21"/>
      <c r="B30" s="16"/>
      <c r="C30" s="16"/>
      <c r="D30" s="16"/>
      <c r="E30" s="16"/>
      <c r="F30" s="16"/>
      <c r="G30" s="16"/>
      <c r="H30" s="16"/>
      <c r="I30" s="16"/>
    </row>
    <row r="31" spans="1:9" ht="15" customHeight="1" x14ac:dyDescent="0.2">
      <c r="A31" s="21"/>
      <c r="B31" s="16"/>
      <c r="C31" s="16"/>
      <c r="D31" s="16"/>
      <c r="E31" s="16"/>
      <c r="F31" s="16"/>
      <c r="G31" s="16"/>
      <c r="H31" s="16"/>
      <c r="I31" s="16"/>
    </row>
    <row r="32" spans="1:9" ht="15" customHeight="1" x14ac:dyDescent="0.2">
      <c r="A32" s="21"/>
      <c r="B32" s="16"/>
      <c r="C32" s="16"/>
      <c r="D32" s="16"/>
      <c r="E32" s="16"/>
      <c r="F32" s="16"/>
      <c r="G32" s="16"/>
      <c r="H32" s="16"/>
      <c r="I32" s="16"/>
    </row>
    <row r="33" spans="1:9" ht="15" customHeight="1" x14ac:dyDescent="0.2">
      <c r="A33" s="21"/>
      <c r="B33" s="16"/>
      <c r="C33" s="16"/>
      <c r="D33" s="16"/>
      <c r="E33" s="16"/>
      <c r="F33" s="16"/>
      <c r="G33" s="16"/>
      <c r="H33" s="16"/>
      <c r="I33" s="16"/>
    </row>
    <row r="34" spans="1:9" ht="15" customHeight="1" x14ac:dyDescent="0.2">
      <c r="A34" s="21"/>
      <c r="B34" s="16"/>
      <c r="C34" s="16"/>
      <c r="D34" s="16"/>
      <c r="E34" s="16"/>
      <c r="F34" s="16"/>
      <c r="G34" s="16"/>
      <c r="H34" s="16"/>
      <c r="I34" s="16"/>
    </row>
    <row r="36" spans="1:9" ht="15" customHeight="1" x14ac:dyDescent="0.2">
      <c r="A36" s="18" t="s">
        <v>95</v>
      </c>
      <c r="B36" s="19"/>
      <c r="C36" s="19"/>
      <c r="D36" s="19"/>
      <c r="E36" s="19"/>
      <c r="F36" s="19"/>
      <c r="G36" s="19"/>
      <c r="H36" s="19"/>
      <c r="I36" s="19"/>
    </row>
    <row r="37" spans="1:9" ht="15" customHeight="1" x14ac:dyDescent="0.2">
      <c r="A37" s="20" t="s">
        <v>94</v>
      </c>
      <c r="B37" s="20" t="s">
        <v>18</v>
      </c>
      <c r="C37" s="20" t="s">
        <v>21</v>
      </c>
      <c r="D37" s="20" t="s">
        <v>23</v>
      </c>
      <c r="E37" s="20" t="s">
        <v>25</v>
      </c>
      <c r="F37" s="20" t="s">
        <v>27</v>
      </c>
      <c r="G37" s="20" t="s">
        <v>30</v>
      </c>
      <c r="H37" s="20" t="s">
        <v>32</v>
      </c>
      <c r="I37" s="20" t="s">
        <v>34</v>
      </c>
    </row>
    <row r="38" spans="1:9" ht="15" customHeight="1" x14ac:dyDescent="0.2">
      <c r="A38" s="21"/>
      <c r="B38" s="16"/>
      <c r="C38" s="16"/>
      <c r="D38" s="16"/>
      <c r="E38" s="16"/>
      <c r="F38" s="16"/>
      <c r="G38" s="16"/>
      <c r="H38" s="16"/>
      <c r="I38" s="16"/>
    </row>
    <row r="39" spans="1:9" ht="15" customHeight="1" x14ac:dyDescent="0.2">
      <c r="A39" s="21"/>
      <c r="B39" s="16"/>
      <c r="C39" s="16"/>
      <c r="D39" s="16"/>
      <c r="E39" s="16"/>
      <c r="F39" s="16"/>
      <c r="G39" s="16"/>
      <c r="H39" s="16"/>
      <c r="I39" s="16"/>
    </row>
    <row r="40" spans="1:9" ht="15" customHeight="1" x14ac:dyDescent="0.2">
      <c r="A40" s="21"/>
      <c r="B40" s="16"/>
      <c r="C40" s="16"/>
      <c r="D40" s="16"/>
      <c r="E40" s="16"/>
      <c r="F40" s="16"/>
      <c r="G40" s="16"/>
      <c r="H40" s="16"/>
      <c r="I40" s="16"/>
    </row>
    <row r="41" spans="1:9" ht="15" customHeight="1" x14ac:dyDescent="0.2">
      <c r="A41" s="21"/>
      <c r="B41" s="16"/>
      <c r="C41" s="16"/>
      <c r="D41" s="16"/>
      <c r="E41" s="16"/>
      <c r="F41" s="16"/>
      <c r="G41" s="16"/>
      <c r="H41" s="16"/>
      <c r="I41" s="16"/>
    </row>
    <row r="42" spans="1:9" ht="15" customHeight="1" x14ac:dyDescent="0.2">
      <c r="A42" s="21"/>
      <c r="B42" s="16"/>
      <c r="C42" s="16"/>
      <c r="D42" s="16"/>
      <c r="E42" s="16"/>
      <c r="F42" s="16"/>
      <c r="G42" s="16"/>
      <c r="H42" s="16"/>
      <c r="I42" s="16"/>
    </row>
    <row r="43" spans="1:9" ht="15" customHeight="1" x14ac:dyDescent="0.2">
      <c r="A43" s="21"/>
      <c r="B43" s="16"/>
      <c r="C43" s="16"/>
      <c r="D43" s="16"/>
      <c r="E43" s="16"/>
      <c r="F43" s="16"/>
      <c r="G43" s="16"/>
      <c r="H43" s="16"/>
      <c r="I43" s="16"/>
    </row>
    <row r="44" spans="1:9" ht="15" customHeight="1" x14ac:dyDescent="0.2">
      <c r="A44" s="21"/>
      <c r="B44" s="16"/>
      <c r="C44" s="16"/>
      <c r="D44" s="16"/>
      <c r="E44" s="16"/>
      <c r="F44" s="16"/>
      <c r="G44" s="16"/>
      <c r="H44" s="16"/>
      <c r="I44" s="16"/>
    </row>
    <row r="45" spans="1:9" ht="15" customHeight="1" x14ac:dyDescent="0.2">
      <c r="A45" s="21"/>
      <c r="B45" s="16"/>
      <c r="C45" s="16"/>
      <c r="D45" s="16"/>
      <c r="E45" s="16"/>
      <c r="F45" s="16"/>
      <c r="G45" s="16"/>
      <c r="H45" s="16"/>
      <c r="I45" s="16"/>
    </row>
    <row r="46" spans="1:9" ht="15" customHeight="1" x14ac:dyDescent="0.2">
      <c r="A46" s="21"/>
      <c r="B46" s="16"/>
      <c r="C46" s="16"/>
      <c r="D46" s="16"/>
      <c r="E46" s="16"/>
      <c r="F46" s="16"/>
      <c r="G46" s="16"/>
      <c r="H46" s="16"/>
      <c r="I46" s="16"/>
    </row>
    <row r="47" spans="1:9" ht="15" customHeight="1" x14ac:dyDescent="0.2">
      <c r="A47" s="21"/>
      <c r="B47" s="16"/>
      <c r="C47" s="16"/>
      <c r="D47" s="16"/>
      <c r="E47" s="16"/>
      <c r="F47" s="16"/>
      <c r="G47" s="16"/>
      <c r="H47" s="16"/>
      <c r="I47" s="16"/>
    </row>
    <row r="48" spans="1:9" ht="15" customHeight="1" x14ac:dyDescent="0.2">
      <c r="A48" s="21"/>
      <c r="B48" s="16"/>
      <c r="C48" s="16"/>
      <c r="D48" s="16"/>
      <c r="E48" s="16"/>
      <c r="F48" s="16"/>
      <c r="G48" s="16"/>
      <c r="H48" s="16"/>
      <c r="I48" s="16"/>
    </row>
    <row r="49" spans="1:9" ht="15" customHeight="1" x14ac:dyDescent="0.2">
      <c r="A49" s="21"/>
      <c r="B49" s="16"/>
      <c r="C49" s="16"/>
      <c r="D49" s="16"/>
      <c r="E49" s="16"/>
      <c r="F49" s="16"/>
      <c r="G49" s="16"/>
      <c r="H49" s="16"/>
      <c r="I49" s="16"/>
    </row>
    <row r="50" spans="1:9" ht="15" customHeight="1" x14ac:dyDescent="0.2">
      <c r="A50" s="21"/>
      <c r="B50" s="16"/>
      <c r="C50" s="16"/>
      <c r="D50" s="16"/>
      <c r="E50" s="16"/>
      <c r="F50" s="16"/>
      <c r="G50" s="16"/>
      <c r="H50" s="16"/>
      <c r="I50" s="16"/>
    </row>
    <row r="51" spans="1:9" ht="15" customHeight="1" x14ac:dyDescent="0.2">
      <c r="A51" s="21"/>
      <c r="B51" s="16"/>
      <c r="C51" s="16"/>
      <c r="D51" s="16"/>
      <c r="E51" s="16"/>
      <c r="F51" s="16"/>
      <c r="G51" s="16"/>
      <c r="H51" s="16"/>
      <c r="I51" s="16"/>
    </row>
    <row r="52" spans="1:9" ht="15" customHeight="1" x14ac:dyDescent="0.2">
      <c r="A52" s="21"/>
      <c r="B52" s="16"/>
      <c r="C52" s="16"/>
      <c r="D52" s="16"/>
      <c r="E52" s="16"/>
      <c r="F52" s="16"/>
      <c r="G52" s="16"/>
      <c r="H52" s="16"/>
      <c r="I52" s="16"/>
    </row>
    <row r="53" spans="1:9" ht="15" customHeight="1" x14ac:dyDescent="0.2">
      <c r="A53" s="21"/>
      <c r="B53" s="16"/>
      <c r="C53" s="16"/>
      <c r="D53" s="16"/>
      <c r="E53" s="16"/>
      <c r="F53" s="16"/>
      <c r="G53" s="16"/>
      <c r="H53" s="16"/>
      <c r="I53" s="16"/>
    </row>
    <row r="55" spans="1:9" ht="15" customHeight="1" x14ac:dyDescent="0.2">
      <c r="A55" s="18" t="s">
        <v>96</v>
      </c>
      <c r="B55" s="19"/>
      <c r="C55" s="19"/>
      <c r="D55" s="19"/>
      <c r="E55" s="19"/>
      <c r="F55" s="19"/>
      <c r="G55" s="19"/>
      <c r="H55" s="19"/>
      <c r="I55" s="19"/>
    </row>
    <row r="56" spans="1:9" ht="15" customHeight="1" x14ac:dyDescent="0.2">
      <c r="A56" s="20" t="s">
        <v>94</v>
      </c>
      <c r="B56" s="20" t="s">
        <v>18</v>
      </c>
      <c r="C56" s="20" t="s">
        <v>21</v>
      </c>
      <c r="D56" s="20" t="s">
        <v>23</v>
      </c>
      <c r="E56" s="20" t="s">
        <v>25</v>
      </c>
      <c r="F56" s="20" t="s">
        <v>27</v>
      </c>
      <c r="G56" s="20" t="s">
        <v>30</v>
      </c>
      <c r="H56" s="20" t="s">
        <v>32</v>
      </c>
      <c r="I56" s="20" t="s">
        <v>34</v>
      </c>
    </row>
    <row r="57" spans="1:9" ht="15" customHeight="1" x14ac:dyDescent="0.2">
      <c r="A57" s="21"/>
      <c r="B57" s="16"/>
      <c r="C57" s="16"/>
      <c r="D57" s="16"/>
      <c r="E57" s="16"/>
      <c r="F57" s="16"/>
      <c r="G57" s="16"/>
      <c r="H57" s="16"/>
      <c r="I57" s="16"/>
    </row>
    <row r="58" spans="1:9" ht="15" customHeight="1" x14ac:dyDescent="0.2">
      <c r="A58" s="21"/>
      <c r="B58" s="16"/>
      <c r="C58" s="16"/>
      <c r="D58" s="16"/>
      <c r="E58" s="16"/>
      <c r="F58" s="16"/>
      <c r="G58" s="16"/>
      <c r="H58" s="16"/>
      <c r="I58" s="16"/>
    </row>
    <row r="59" spans="1:9" ht="15" customHeight="1" x14ac:dyDescent="0.2">
      <c r="A59" s="21"/>
      <c r="B59" s="16"/>
      <c r="C59" s="16"/>
      <c r="D59" s="16"/>
      <c r="E59" s="16"/>
      <c r="F59" s="16"/>
      <c r="G59" s="16"/>
      <c r="H59" s="16"/>
      <c r="I59" s="16"/>
    </row>
    <row r="60" spans="1:9" ht="15" customHeight="1" x14ac:dyDescent="0.2">
      <c r="A60" s="21"/>
      <c r="B60" s="16"/>
      <c r="C60" s="16"/>
      <c r="D60" s="16"/>
      <c r="E60" s="16"/>
      <c r="F60" s="16"/>
      <c r="G60" s="16"/>
      <c r="H60" s="16"/>
      <c r="I60" s="16"/>
    </row>
    <row r="61" spans="1:9" ht="15" customHeight="1" x14ac:dyDescent="0.2">
      <c r="A61" s="21"/>
      <c r="B61" s="16"/>
      <c r="C61" s="16"/>
      <c r="D61" s="16"/>
      <c r="E61" s="16"/>
      <c r="F61" s="16"/>
      <c r="G61" s="16"/>
      <c r="H61" s="16"/>
      <c r="I61" s="16"/>
    </row>
    <row r="62" spans="1:9" ht="15" customHeight="1" x14ac:dyDescent="0.2">
      <c r="A62" s="21"/>
      <c r="B62" s="16"/>
      <c r="C62" s="16"/>
      <c r="D62" s="16"/>
      <c r="E62" s="16"/>
      <c r="F62" s="16"/>
      <c r="G62" s="16"/>
      <c r="H62" s="16"/>
      <c r="I62" s="16"/>
    </row>
    <row r="63" spans="1:9" ht="15" customHeight="1" x14ac:dyDescent="0.2">
      <c r="A63" s="21"/>
      <c r="B63" s="16"/>
      <c r="C63" s="16"/>
      <c r="D63" s="16"/>
      <c r="E63" s="16"/>
      <c r="F63" s="16"/>
      <c r="G63" s="16"/>
      <c r="H63" s="16"/>
      <c r="I63" s="16"/>
    </row>
    <row r="64" spans="1:9" ht="15" customHeight="1" x14ac:dyDescent="0.2">
      <c r="A64" s="21"/>
      <c r="B64" s="16"/>
      <c r="C64" s="16"/>
      <c r="D64" s="16"/>
      <c r="E64" s="16"/>
      <c r="F64" s="16"/>
      <c r="G64" s="16"/>
      <c r="H64" s="16"/>
      <c r="I64" s="16"/>
    </row>
    <row r="66" spans="1:9" ht="15" customHeight="1" x14ac:dyDescent="0.2">
      <c r="A66" s="18" t="s">
        <v>97</v>
      </c>
      <c r="B66" s="19"/>
      <c r="C66" s="19"/>
      <c r="D66" s="19"/>
      <c r="E66" s="19"/>
      <c r="F66" s="19"/>
      <c r="G66" s="19"/>
      <c r="H66" s="19"/>
      <c r="I66" s="19"/>
    </row>
    <row r="67" spans="1:9" ht="15" customHeight="1" x14ac:dyDescent="0.2">
      <c r="A67" s="20" t="s">
        <v>94</v>
      </c>
      <c r="B67" s="20" t="s">
        <v>18</v>
      </c>
      <c r="C67" s="20" t="s">
        <v>21</v>
      </c>
      <c r="D67" s="20" t="s">
        <v>23</v>
      </c>
      <c r="E67" s="20" t="s">
        <v>25</v>
      </c>
      <c r="F67" s="20" t="s">
        <v>27</v>
      </c>
      <c r="G67" s="20" t="s">
        <v>30</v>
      </c>
      <c r="H67" s="20" t="s">
        <v>32</v>
      </c>
      <c r="I67" s="20" t="s">
        <v>34</v>
      </c>
    </row>
    <row r="68" spans="1:9" ht="15" customHeight="1" x14ac:dyDescent="0.2">
      <c r="A68" s="21"/>
      <c r="B68" s="16"/>
      <c r="C68" s="16"/>
      <c r="D68" s="16"/>
      <c r="E68" s="16"/>
      <c r="F68" s="16"/>
      <c r="G68" s="16"/>
      <c r="H68" s="16"/>
      <c r="I68" s="16"/>
    </row>
    <row r="69" spans="1:9" ht="15" customHeight="1" x14ac:dyDescent="0.2">
      <c r="A69" s="21"/>
      <c r="B69" s="16"/>
      <c r="C69" s="16"/>
      <c r="D69" s="16"/>
      <c r="E69" s="16"/>
      <c r="F69" s="16"/>
      <c r="G69" s="16"/>
      <c r="H69" s="16"/>
      <c r="I69" s="16"/>
    </row>
    <row r="70" spans="1:9" ht="15" customHeight="1" x14ac:dyDescent="0.2">
      <c r="A70" s="21"/>
      <c r="B70" s="16"/>
      <c r="C70" s="16"/>
      <c r="D70" s="16"/>
      <c r="E70" s="16"/>
      <c r="F70" s="16"/>
      <c r="G70" s="16"/>
      <c r="H70" s="16"/>
      <c r="I70" s="16"/>
    </row>
    <row r="71" spans="1:9" ht="15" customHeight="1" x14ac:dyDescent="0.2">
      <c r="A71" s="21"/>
      <c r="B71" s="16"/>
      <c r="C71" s="16"/>
      <c r="D71" s="16"/>
      <c r="E71" s="16"/>
      <c r="F71" s="16"/>
      <c r="G71" s="16"/>
      <c r="H71" s="16"/>
      <c r="I71" s="16"/>
    </row>
    <row r="73" spans="1:9" ht="15" customHeight="1" x14ac:dyDescent="0.2">
      <c r="A73" s="18" t="s">
        <v>98</v>
      </c>
      <c r="B73" s="19"/>
      <c r="C73" s="19"/>
      <c r="D73" s="19"/>
      <c r="E73" s="19"/>
      <c r="F73" s="19"/>
      <c r="G73" s="19"/>
      <c r="H73" s="19"/>
      <c r="I73" s="19"/>
    </row>
    <row r="74" spans="1:9" ht="15" customHeight="1" x14ac:dyDescent="0.2">
      <c r="A74" s="20" t="s">
        <v>94</v>
      </c>
      <c r="B74" s="20" t="s">
        <v>18</v>
      </c>
      <c r="C74" s="20" t="s">
        <v>21</v>
      </c>
      <c r="D74" s="20" t="s">
        <v>23</v>
      </c>
      <c r="E74" s="20" t="s">
        <v>25</v>
      </c>
      <c r="F74" s="20" t="s">
        <v>27</v>
      </c>
      <c r="G74" s="20" t="s">
        <v>30</v>
      </c>
      <c r="H74" s="20" t="s">
        <v>32</v>
      </c>
      <c r="I74" s="20" t="s">
        <v>34</v>
      </c>
    </row>
    <row r="75" spans="1:9" ht="15" customHeight="1" x14ac:dyDescent="0.2">
      <c r="A75" s="21"/>
      <c r="B75" s="16"/>
      <c r="C75" s="16"/>
      <c r="D75" s="16"/>
      <c r="E75" s="16"/>
      <c r="F75" s="16"/>
      <c r="G75" s="16"/>
      <c r="H75" s="16"/>
      <c r="I75" s="16"/>
    </row>
    <row r="76" spans="1:9" ht="15" customHeight="1" x14ac:dyDescent="0.2">
      <c r="A76" s="21"/>
      <c r="B76" s="16"/>
      <c r="C76" s="16"/>
      <c r="D76" s="16"/>
      <c r="E76" s="16"/>
      <c r="F76" s="16"/>
      <c r="G76" s="16"/>
      <c r="H76" s="16"/>
      <c r="I76" s="16"/>
    </row>
    <row r="78" spans="1:9" ht="15" customHeight="1" x14ac:dyDescent="0.2">
      <c r="A78" s="22" t="s">
        <v>99</v>
      </c>
    </row>
    <row r="80" spans="1:9" ht="15" customHeight="1" x14ac:dyDescent="0.2">
      <c r="A80" s="18" t="s">
        <v>100</v>
      </c>
      <c r="B80" s="19"/>
      <c r="C80" s="19"/>
      <c r="D80" s="19"/>
      <c r="E80" s="19"/>
      <c r="F80" s="19"/>
      <c r="G80" s="19"/>
      <c r="H80" s="19"/>
      <c r="I80" s="19"/>
    </row>
    <row r="81" spans="1:9" ht="15" customHeight="1" x14ac:dyDescent="0.2">
      <c r="A81" s="20" t="s">
        <v>101</v>
      </c>
      <c r="B81" s="20" t="s">
        <v>18</v>
      </c>
      <c r="C81" s="20" t="s">
        <v>21</v>
      </c>
      <c r="D81" s="20" t="s">
        <v>23</v>
      </c>
      <c r="E81" s="20" t="s">
        <v>25</v>
      </c>
      <c r="F81" s="20" t="s">
        <v>27</v>
      </c>
      <c r="G81" s="20" t="s">
        <v>30</v>
      </c>
      <c r="H81" s="20" t="s">
        <v>32</v>
      </c>
      <c r="I81" s="20" t="s">
        <v>34</v>
      </c>
    </row>
    <row r="82" spans="1:9" ht="15" customHeight="1" x14ac:dyDescent="0.2">
      <c r="A82" s="23"/>
      <c r="B82" s="16"/>
      <c r="C82" s="16"/>
      <c r="D82" s="16"/>
      <c r="E82" s="16"/>
      <c r="F82" s="16"/>
      <c r="G82" s="16"/>
      <c r="H82" s="16"/>
      <c r="I82" s="16"/>
    </row>
    <row r="84" spans="1:9" ht="15" customHeight="1" x14ac:dyDescent="0.2">
      <c r="A84" s="22" t="s">
        <v>99</v>
      </c>
    </row>
  </sheetData>
  <conditionalFormatting sqref="B3:I34">
    <cfRule type="expression" dxfId="4" priority="2">
      <formula>AND(B3&lt;&gt;"",COUNTIF(B$3:B$34,B3)&gt;1)</formula>
    </cfRule>
  </conditionalFormatting>
  <conditionalFormatting sqref="B38:I53">
    <cfRule type="expression" dxfId="3" priority="10">
      <formula>AND(B38&lt;&gt;"",COUNTIF(B$38:B$53,B38)&gt;1)</formula>
    </cfRule>
  </conditionalFormatting>
  <conditionalFormatting sqref="B57:I64">
    <cfRule type="expression" dxfId="2" priority="18">
      <formula>AND(B57&lt;&gt;"",COUNTIF(B$57:B$64,B57)&gt;1)</formula>
    </cfRule>
  </conditionalFormatting>
  <conditionalFormatting sqref="B68:I71">
    <cfRule type="expression" dxfId="1" priority="26">
      <formula>AND(B68&lt;&gt;"",COUNTIF(B$68:B$71,B68)&gt;1)</formula>
    </cfRule>
  </conditionalFormatting>
  <conditionalFormatting sqref="B75:I76">
    <cfRule type="expression" dxfId="0" priority="34">
      <formula>AND(B75&lt;&gt;"",COUNTIF(B$75:B$76,B75)&gt;1)</formula>
    </cfRule>
  </conditionalFormatting>
  <dataValidations count="1">
    <dataValidation type="list" allowBlank="1" sqref="A3:I34 A38:I53 A57:I64 A68:I71 A75:I76 A82:I82" xr:uid="{00000000-0002-0000-0300-000000000000}">
      <formula1>Teams</formula1>
      <formula2>0</formula2>
    </dataValidation>
  </dataValidations>
  <printOptions horizontalCentered="1"/>
  <pageMargins left="0.2" right="0.2" top="0.3" bottom="0.3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10" customWidth="1"/>
    <col min="3" max="9" width="9" customWidth="1"/>
    <col min="10" max="10" width="11" customWidth="1"/>
    <col min="11" max="11" width="8" customWidth="1"/>
  </cols>
  <sheetData>
    <row r="1" spans="1:11" ht="19.5" customHeight="1" x14ac:dyDescent="0.2">
      <c r="A1" s="1" t="s">
        <v>102</v>
      </c>
    </row>
    <row r="3" spans="1:11" ht="15" customHeight="1" x14ac:dyDescent="0.2">
      <c r="A3" s="3" t="s">
        <v>103</v>
      </c>
    </row>
    <row r="4" spans="1:11" ht="15" customHeight="1" x14ac:dyDescent="0.2">
      <c r="B4" s="20" t="s">
        <v>104</v>
      </c>
      <c r="C4" s="20" t="s">
        <v>105</v>
      </c>
      <c r="D4" s="20" t="s">
        <v>106</v>
      </c>
      <c r="E4" s="20" t="s">
        <v>107</v>
      </c>
      <c r="F4" s="20" t="s">
        <v>108</v>
      </c>
      <c r="G4" s="20" t="s">
        <v>109</v>
      </c>
      <c r="H4" s="20" t="s">
        <v>110</v>
      </c>
    </row>
    <row r="5" spans="1:11" ht="15" customHeight="1" x14ac:dyDescent="0.2">
      <c r="B5" s="24">
        <v>1</v>
      </c>
      <c r="C5" s="24">
        <v>2</v>
      </c>
      <c r="D5" s="24">
        <v>3</v>
      </c>
      <c r="E5" s="24">
        <v>4</v>
      </c>
      <c r="F5" s="24">
        <v>5</v>
      </c>
      <c r="G5" s="24">
        <v>6</v>
      </c>
      <c r="H5" s="24">
        <v>7</v>
      </c>
    </row>
    <row r="7" spans="1:11" ht="15" customHeight="1" x14ac:dyDescent="0.2">
      <c r="A7" s="25" t="s">
        <v>111</v>
      </c>
      <c r="B7" s="25" t="s">
        <v>87</v>
      </c>
      <c r="C7" s="25" t="s">
        <v>112</v>
      </c>
      <c r="D7" s="25" t="s">
        <v>113</v>
      </c>
      <c r="E7" s="25" t="s">
        <v>114</v>
      </c>
      <c r="F7" s="25" t="s">
        <v>115</v>
      </c>
      <c r="G7" s="25" t="s">
        <v>116</v>
      </c>
      <c r="H7" s="25" t="s">
        <v>117</v>
      </c>
      <c r="I7" s="25" t="s">
        <v>118</v>
      </c>
      <c r="J7" s="25" t="s">
        <v>119</v>
      </c>
      <c r="K7" s="25" t="s">
        <v>120</v>
      </c>
    </row>
    <row r="8" spans="1:11" ht="15" customHeight="1" x14ac:dyDescent="0.2">
      <c r="A8" s="26" t="str">
        <f>Setup!$A$2</f>
        <v>Bendik</v>
      </c>
      <c r="B8" s="27">
        <f>SUMPRODUCT(('Group Stage'!$E$2:$E$73&lt;&gt;"")*('Group Stage'!$E$2:$E$73='Group Stage'!F2:F73))*$B$5</f>
        <v>0</v>
      </c>
      <c r="C8" s="27">
        <f>SUMPRODUCT((Knockout!B3:B34&lt;&gt;"")*(COUNTIF(Knockout!$A$3:$A$34,Knockout!B3:B34)&gt;0)/(COUNTIF(Knockout!B3:B34,Knockout!B3:B34)+(Knockout!B3:B34="")))*$C$5</f>
        <v>0</v>
      </c>
      <c r="D8" s="27">
        <f>SUMPRODUCT((Knockout!B38:B53&lt;&gt;"")*(COUNTIF(Knockout!$A$38:$A$53,Knockout!B38:B53)&gt;0)/(COUNTIF(Knockout!B38:B53,Knockout!B38:B53)+(Knockout!B38:B53="")))*$D$5</f>
        <v>0</v>
      </c>
      <c r="E8" s="27">
        <f>SUMPRODUCT((Knockout!B57:B64&lt;&gt;"")*(COUNTIF(Knockout!$A$57:$A$64,Knockout!B57:B64)&gt;0)/(COUNTIF(Knockout!B57:B64,Knockout!B57:B64)+(Knockout!B57:B64="")))*$E$5</f>
        <v>0</v>
      </c>
      <c r="F8" s="27">
        <f>SUMPRODUCT((Knockout!B68:B71&lt;&gt;"")*(COUNTIF(Knockout!$A$68:$A$71,Knockout!B68:B71)&gt;0)/(COUNTIF(Knockout!B68:B71,Knockout!B68:B71)+(Knockout!B68:B71="")))*$F$5</f>
        <v>0</v>
      </c>
      <c r="G8" s="27">
        <f>SUMPRODUCT((Knockout!B75:B76&lt;&gt;"")*(COUNTIF(Knockout!$A$75:$A$76,Knockout!B75:B76)&gt;0)/(COUNTIF(Knockout!B75:B76,Knockout!B75:B76)+(Knockout!B75:B76="")))*$G$5</f>
        <v>0</v>
      </c>
      <c r="H8" s="27">
        <f>IF(AND(Knockout!$A$82&lt;&gt;"",Knockout!B82=Knockout!$A$82),$H$5,0)</f>
        <v>0</v>
      </c>
      <c r="I8" s="11">
        <f t="shared" ref="I8:I15" si="0">SUM(C8:H8)</f>
        <v>0</v>
      </c>
      <c r="J8" s="28">
        <f t="shared" ref="J8:J15" si="1">B8+I8</f>
        <v>0</v>
      </c>
      <c r="K8" s="28">
        <f t="shared" ref="K8:K15" si="2">RANK(J8,$J$8:$J$15)</f>
        <v>1</v>
      </c>
    </row>
    <row r="9" spans="1:11" ht="15" customHeight="1" x14ac:dyDescent="0.2">
      <c r="A9" s="26" t="str">
        <f>Setup!$A$3</f>
        <v>Erlend</v>
      </c>
      <c r="B9" s="27">
        <f>SUMPRODUCT(('Group Stage'!$E$2:$E$73&lt;&gt;"")*('Group Stage'!$E$2:$E$73='Group Stage'!G2:G73))*$B$5</f>
        <v>0</v>
      </c>
      <c r="C9" s="27">
        <f>SUMPRODUCT((Knockout!C3:C34&lt;&gt;"")*(COUNTIF(Knockout!$A$3:$A$34,Knockout!C3:C34)&gt;0)/(COUNTIF(Knockout!C3:C34,Knockout!C3:C34)+(Knockout!C3:C34="")))*$C$5</f>
        <v>0</v>
      </c>
      <c r="D9" s="27">
        <f>SUMPRODUCT((Knockout!C38:C53&lt;&gt;"")*(COUNTIF(Knockout!$A$38:$A$53,Knockout!C38:C53)&gt;0)/(COUNTIF(Knockout!C38:C53,Knockout!C38:C53)+(Knockout!C38:C53="")))*$D$5</f>
        <v>0</v>
      </c>
      <c r="E9" s="27">
        <f>SUMPRODUCT((Knockout!C57:C64&lt;&gt;"")*(COUNTIF(Knockout!$A$57:$A$64,Knockout!C57:C64)&gt;0)/(COUNTIF(Knockout!C57:C64,Knockout!C57:C64)+(Knockout!C57:C64="")))*$E$5</f>
        <v>0</v>
      </c>
      <c r="F9" s="27">
        <f>SUMPRODUCT((Knockout!C68:C71&lt;&gt;"")*(COUNTIF(Knockout!$A$68:$A$71,Knockout!C68:C71)&gt;0)/(COUNTIF(Knockout!C68:C71,Knockout!C68:C71)+(Knockout!C68:C71="")))*$F$5</f>
        <v>0</v>
      </c>
      <c r="G9" s="27">
        <f>SUMPRODUCT((Knockout!C75:C76&lt;&gt;"")*(COUNTIF(Knockout!$A$75:$A$76,Knockout!C75:C76)&gt;0)/(COUNTIF(Knockout!C75:C76,Knockout!C75:C76)+(Knockout!C75:C76="")))*$G$5</f>
        <v>0</v>
      </c>
      <c r="H9" s="27">
        <f>IF(AND(Knockout!$A$82&lt;&gt;"",Knockout!C82=Knockout!$A$82),$H$5,0)</f>
        <v>0</v>
      </c>
      <c r="I9" s="11">
        <f t="shared" si="0"/>
        <v>0</v>
      </c>
      <c r="J9" s="28">
        <f t="shared" si="1"/>
        <v>0</v>
      </c>
      <c r="K9" s="28">
        <f t="shared" si="2"/>
        <v>1</v>
      </c>
    </row>
    <row r="10" spans="1:11" ht="15" customHeight="1" x14ac:dyDescent="0.2">
      <c r="A10" s="26" t="str">
        <f>Setup!$A$4</f>
        <v>Ingvild</v>
      </c>
      <c r="B10" s="27">
        <f>SUMPRODUCT(('Group Stage'!$E$2:$E$73&lt;&gt;"")*('Group Stage'!$E$2:$E$73='Group Stage'!H2:H73))*$B$5</f>
        <v>0</v>
      </c>
      <c r="C10" s="27">
        <f>SUMPRODUCT((Knockout!D3:D34&lt;&gt;"")*(COUNTIF(Knockout!$A$3:$A$34,Knockout!D3:D34)&gt;0)/(COUNTIF(Knockout!D3:D34,Knockout!D3:D34)+(Knockout!D3:D34="")))*$C$5</f>
        <v>0</v>
      </c>
      <c r="D10" s="27">
        <f>SUMPRODUCT((Knockout!D38:D53&lt;&gt;"")*(COUNTIF(Knockout!$A$38:$A$53,Knockout!D38:D53)&gt;0)/(COUNTIF(Knockout!D38:D53,Knockout!D38:D53)+(Knockout!D38:D53="")))*$D$5</f>
        <v>0</v>
      </c>
      <c r="E10" s="27">
        <f>SUMPRODUCT((Knockout!D57:D64&lt;&gt;"")*(COUNTIF(Knockout!$A$57:$A$64,Knockout!D57:D64)&gt;0)/(COUNTIF(Knockout!D57:D64,Knockout!D57:D64)+(Knockout!D57:D64="")))*$E$5</f>
        <v>0</v>
      </c>
      <c r="F10" s="27">
        <f>SUMPRODUCT((Knockout!D68:D71&lt;&gt;"")*(COUNTIF(Knockout!$A$68:$A$71,Knockout!D68:D71)&gt;0)/(COUNTIF(Knockout!D68:D71,Knockout!D68:D71)+(Knockout!D68:D71="")))*$F$5</f>
        <v>0</v>
      </c>
      <c r="G10" s="27">
        <f>SUMPRODUCT((Knockout!D75:D76&lt;&gt;"")*(COUNTIF(Knockout!$A$75:$A$76,Knockout!D75:D76)&gt;0)/(COUNTIF(Knockout!D75:D76,Knockout!D75:D76)+(Knockout!D75:D76="")))*$G$5</f>
        <v>0</v>
      </c>
      <c r="H10" s="27">
        <f>IF(AND(Knockout!$A$82&lt;&gt;"",Knockout!D82=Knockout!$A$82),$H$5,0)</f>
        <v>0</v>
      </c>
      <c r="I10" s="11">
        <f t="shared" si="0"/>
        <v>0</v>
      </c>
      <c r="J10" s="28">
        <f t="shared" si="1"/>
        <v>0</v>
      </c>
      <c r="K10" s="28">
        <f t="shared" si="2"/>
        <v>1</v>
      </c>
    </row>
    <row r="11" spans="1:11" ht="15" customHeight="1" x14ac:dyDescent="0.2">
      <c r="A11" s="26" t="str">
        <f>Setup!$A$5</f>
        <v>Laila</v>
      </c>
      <c r="B11" s="27">
        <f>SUMPRODUCT(('Group Stage'!$E$2:$E$73&lt;&gt;"")*('Group Stage'!$E$2:$E$73='Group Stage'!I2:I73))*$B$5</f>
        <v>0</v>
      </c>
      <c r="C11" s="27">
        <f>SUMPRODUCT((Knockout!E3:E34&lt;&gt;"")*(COUNTIF(Knockout!$A$3:$A$34,Knockout!E3:E34)&gt;0)/(COUNTIF(Knockout!E3:E34,Knockout!E3:E34)+(Knockout!E3:E34="")))*$C$5</f>
        <v>0</v>
      </c>
      <c r="D11" s="27">
        <f>SUMPRODUCT((Knockout!E38:E53&lt;&gt;"")*(COUNTIF(Knockout!$A$38:$A$53,Knockout!E38:E53)&gt;0)/(COUNTIF(Knockout!E38:E53,Knockout!E38:E53)+(Knockout!E38:E53="")))*$D$5</f>
        <v>0</v>
      </c>
      <c r="E11" s="27">
        <f>SUMPRODUCT((Knockout!E57:E64&lt;&gt;"")*(COUNTIF(Knockout!$A$57:$A$64,Knockout!E57:E64)&gt;0)/(COUNTIF(Knockout!E57:E64,Knockout!E57:E64)+(Knockout!E57:E64="")))*$E$5</f>
        <v>0</v>
      </c>
      <c r="F11" s="27">
        <f>SUMPRODUCT((Knockout!E68:E71&lt;&gt;"")*(COUNTIF(Knockout!$A$68:$A$71,Knockout!E68:E71)&gt;0)/(COUNTIF(Knockout!E68:E71,Knockout!E68:E71)+(Knockout!E68:E71="")))*$F$5</f>
        <v>0</v>
      </c>
      <c r="G11" s="27">
        <f>SUMPRODUCT((Knockout!E75:E76&lt;&gt;"")*(COUNTIF(Knockout!$A$75:$A$76,Knockout!E75:E76)&gt;0)/(COUNTIF(Knockout!E75:E76,Knockout!E75:E76)+(Knockout!E75:E76="")))*$G$5</f>
        <v>0</v>
      </c>
      <c r="H11" s="27">
        <f>IF(AND(Knockout!$A$82&lt;&gt;"",Knockout!E82=Knockout!$A$82),$H$5,0)</f>
        <v>0</v>
      </c>
      <c r="I11" s="11">
        <f t="shared" si="0"/>
        <v>0</v>
      </c>
      <c r="J11" s="28">
        <f t="shared" si="1"/>
        <v>0</v>
      </c>
      <c r="K11" s="28">
        <f t="shared" si="2"/>
        <v>1</v>
      </c>
    </row>
    <row r="12" spans="1:11" ht="15" customHeight="1" x14ac:dyDescent="0.2">
      <c r="A12" s="26" t="str">
        <f>Setup!$A$6</f>
        <v>Marte</v>
      </c>
      <c r="B12" s="27">
        <f>SUMPRODUCT(('Group Stage'!$E$2:$E$73&lt;&gt;"")*('Group Stage'!$E$2:$E$73='Group Stage'!J2:J73))*$B$5</f>
        <v>0</v>
      </c>
      <c r="C12" s="27">
        <f>SUMPRODUCT((Knockout!F3:F34&lt;&gt;"")*(COUNTIF(Knockout!$A$3:$A$34,Knockout!F3:F34)&gt;0)/(COUNTIF(Knockout!F3:F34,Knockout!F3:F34)+(Knockout!F3:F34="")))*$C$5</f>
        <v>0</v>
      </c>
      <c r="D12" s="27">
        <f>SUMPRODUCT((Knockout!F38:F53&lt;&gt;"")*(COUNTIF(Knockout!$A$38:$A$53,Knockout!F38:F53)&gt;0)/(COUNTIF(Knockout!F38:F53,Knockout!F38:F53)+(Knockout!F38:F53="")))*$D$5</f>
        <v>0</v>
      </c>
      <c r="E12" s="27">
        <f>SUMPRODUCT((Knockout!F57:F64&lt;&gt;"")*(COUNTIF(Knockout!$A$57:$A$64,Knockout!F57:F64)&gt;0)/(COUNTIF(Knockout!F57:F64,Knockout!F57:F64)+(Knockout!F57:F64="")))*$E$5</f>
        <v>0</v>
      </c>
      <c r="F12" s="27">
        <f>SUMPRODUCT((Knockout!F68:F71&lt;&gt;"")*(COUNTIF(Knockout!$A$68:$A$71,Knockout!F68:F71)&gt;0)/(COUNTIF(Knockout!F68:F71,Knockout!F68:F71)+(Knockout!F68:F71="")))*$F$5</f>
        <v>0</v>
      </c>
      <c r="G12" s="27">
        <f>SUMPRODUCT((Knockout!F75:F76&lt;&gt;"")*(COUNTIF(Knockout!$A$75:$A$76,Knockout!F75:F76)&gt;0)/(COUNTIF(Knockout!F75:F76,Knockout!F75:F76)+(Knockout!F75:F76="")))*$G$5</f>
        <v>0</v>
      </c>
      <c r="H12" s="27">
        <f>IF(AND(Knockout!$A$82&lt;&gt;"",Knockout!F82=Knockout!$A$82),$H$5,0)</f>
        <v>0</v>
      </c>
      <c r="I12" s="11">
        <f t="shared" si="0"/>
        <v>0</v>
      </c>
      <c r="J12" s="28">
        <f t="shared" si="1"/>
        <v>0</v>
      </c>
      <c r="K12" s="28">
        <f t="shared" si="2"/>
        <v>1</v>
      </c>
    </row>
    <row r="13" spans="1:11" ht="15" customHeight="1" x14ac:dyDescent="0.2">
      <c r="A13" s="26" t="str">
        <f>Setup!$A$7</f>
        <v>Nils Erland</v>
      </c>
      <c r="B13" s="27">
        <f>SUMPRODUCT(('Group Stage'!$E$2:$E$73&lt;&gt;"")*('Group Stage'!$E$2:$E$73='Group Stage'!K2:K73))*$B$5</f>
        <v>0</v>
      </c>
      <c r="C13" s="27">
        <f>SUMPRODUCT((Knockout!G3:G34&lt;&gt;"")*(COUNTIF(Knockout!$A$3:$A$34,Knockout!G3:G34)&gt;0)/(COUNTIF(Knockout!G3:G34,Knockout!G3:G34)+(Knockout!G3:G34="")))*$C$5</f>
        <v>0</v>
      </c>
      <c r="D13" s="27">
        <f>SUMPRODUCT((Knockout!G38:G53&lt;&gt;"")*(COUNTIF(Knockout!$A$38:$A$53,Knockout!G38:G53)&gt;0)/(COUNTIF(Knockout!G38:G53,Knockout!G38:G53)+(Knockout!G38:G53="")))*$D$5</f>
        <v>0</v>
      </c>
      <c r="E13" s="27">
        <f>SUMPRODUCT((Knockout!G57:G64&lt;&gt;"")*(COUNTIF(Knockout!$A$57:$A$64,Knockout!G57:G64)&gt;0)/(COUNTIF(Knockout!G57:G64,Knockout!G57:G64)+(Knockout!G57:G64="")))*$E$5</f>
        <v>0</v>
      </c>
      <c r="F13" s="27">
        <f>SUMPRODUCT((Knockout!G68:G71&lt;&gt;"")*(COUNTIF(Knockout!$A$68:$A$71,Knockout!G68:G71)&gt;0)/(COUNTIF(Knockout!G68:G71,Knockout!G68:G71)+(Knockout!G68:G71="")))*$F$5</f>
        <v>0</v>
      </c>
      <c r="G13" s="27">
        <f>SUMPRODUCT((Knockout!G75:G76&lt;&gt;"")*(COUNTIF(Knockout!$A$75:$A$76,Knockout!G75:G76)&gt;0)/(COUNTIF(Knockout!G75:G76,Knockout!G75:G76)+(Knockout!G75:G76="")))*$G$5</f>
        <v>0</v>
      </c>
      <c r="H13" s="27">
        <f>IF(AND(Knockout!$A$82&lt;&gt;"",Knockout!G82=Knockout!$A$82),$H$5,0)</f>
        <v>0</v>
      </c>
      <c r="I13" s="11">
        <f t="shared" si="0"/>
        <v>0</v>
      </c>
      <c r="J13" s="28">
        <f t="shared" si="1"/>
        <v>0</v>
      </c>
      <c r="K13" s="28">
        <f t="shared" si="2"/>
        <v>1</v>
      </c>
    </row>
    <row r="14" spans="1:11" ht="15" customHeight="1" x14ac:dyDescent="0.2">
      <c r="A14" s="26" t="str">
        <f>Setup!$A$8</f>
        <v>Odd Gunnar</v>
      </c>
      <c r="B14" s="27">
        <f>SUMPRODUCT(('Group Stage'!$E$2:$E$73&lt;&gt;"")*('Group Stage'!$E$2:$E$73='Group Stage'!L2:L73))*$B$5</f>
        <v>0</v>
      </c>
      <c r="C14" s="27">
        <f>SUMPRODUCT((Knockout!H3:H34&lt;&gt;"")*(COUNTIF(Knockout!$A$3:$A$34,Knockout!H3:H34)&gt;0)/(COUNTIF(Knockout!H3:H34,Knockout!H3:H34)+(Knockout!H3:H34="")))*$C$5</f>
        <v>0</v>
      </c>
      <c r="D14" s="27">
        <f>SUMPRODUCT((Knockout!H38:H53&lt;&gt;"")*(COUNTIF(Knockout!$A$38:$A$53,Knockout!H38:H53)&gt;0)/(COUNTIF(Knockout!H38:H53,Knockout!H38:H53)+(Knockout!H38:H53="")))*$D$5</f>
        <v>0</v>
      </c>
      <c r="E14" s="27">
        <f>SUMPRODUCT((Knockout!H57:H64&lt;&gt;"")*(COUNTIF(Knockout!$A$57:$A$64,Knockout!H57:H64)&gt;0)/(COUNTIF(Knockout!H57:H64,Knockout!H57:H64)+(Knockout!H57:H64="")))*$E$5</f>
        <v>0</v>
      </c>
      <c r="F14" s="27">
        <f>SUMPRODUCT((Knockout!H68:H71&lt;&gt;"")*(COUNTIF(Knockout!$A$68:$A$71,Knockout!H68:H71)&gt;0)/(COUNTIF(Knockout!H68:H71,Knockout!H68:H71)+(Knockout!H68:H71="")))*$F$5</f>
        <v>0</v>
      </c>
      <c r="G14" s="27">
        <f>SUMPRODUCT((Knockout!H75:H76&lt;&gt;"")*(COUNTIF(Knockout!$A$75:$A$76,Knockout!H75:H76)&gt;0)/(COUNTIF(Knockout!H75:H76,Knockout!H75:H76)+(Knockout!H75:H76="")))*$G$5</f>
        <v>0</v>
      </c>
      <c r="H14" s="27">
        <f>IF(AND(Knockout!$A$82&lt;&gt;"",Knockout!H82=Knockout!$A$82),$H$5,0)</f>
        <v>0</v>
      </c>
      <c r="I14" s="11">
        <f t="shared" si="0"/>
        <v>0</v>
      </c>
      <c r="J14" s="28">
        <f t="shared" si="1"/>
        <v>0</v>
      </c>
      <c r="K14" s="28">
        <f t="shared" si="2"/>
        <v>1</v>
      </c>
    </row>
    <row r="15" spans="1:11" ht="15" customHeight="1" x14ac:dyDescent="0.2">
      <c r="A15" s="26" t="str">
        <f>Setup!$A$9</f>
        <v>Ragnhild</v>
      </c>
      <c r="B15" s="27">
        <f>SUMPRODUCT(('Group Stage'!$E$2:$E$73&lt;&gt;"")*('Group Stage'!$E$2:$E$73='Group Stage'!M2:M73))*$B$5</f>
        <v>0</v>
      </c>
      <c r="C15" s="27">
        <f>SUMPRODUCT((Knockout!I3:I34&lt;&gt;"")*(COUNTIF(Knockout!$A$3:$A$34,Knockout!I3:I34)&gt;0)/(COUNTIF(Knockout!I3:I34,Knockout!I3:I34)+(Knockout!I3:I34="")))*$C$5</f>
        <v>0</v>
      </c>
      <c r="D15" s="27">
        <f>SUMPRODUCT((Knockout!I38:I53&lt;&gt;"")*(COUNTIF(Knockout!$A$38:$A$53,Knockout!I38:I53)&gt;0)/(COUNTIF(Knockout!I38:I53,Knockout!I38:I53)+(Knockout!I38:I53="")))*$D$5</f>
        <v>0</v>
      </c>
      <c r="E15" s="27">
        <f>SUMPRODUCT((Knockout!I57:I64&lt;&gt;"")*(COUNTIF(Knockout!$A$57:$A$64,Knockout!I57:I64)&gt;0)/(COUNTIF(Knockout!I57:I64,Knockout!I57:I64)+(Knockout!I57:I64="")))*$E$5</f>
        <v>0</v>
      </c>
      <c r="F15" s="27">
        <f>SUMPRODUCT((Knockout!I68:I71&lt;&gt;"")*(COUNTIF(Knockout!$A$68:$A$71,Knockout!I68:I71)&gt;0)/(COUNTIF(Knockout!I68:I71,Knockout!I68:I71)+(Knockout!I68:I71="")))*$F$5</f>
        <v>0</v>
      </c>
      <c r="G15" s="27">
        <f>SUMPRODUCT((Knockout!I75:I76&lt;&gt;"")*(COUNTIF(Knockout!$A$75:$A$76,Knockout!I75:I76)&gt;0)/(COUNTIF(Knockout!I75:I76,Knockout!I75:I76)+(Knockout!I75:I76="")))*$G$5</f>
        <v>0</v>
      </c>
      <c r="H15" s="27">
        <f>IF(AND(Knockout!$A$82&lt;&gt;"",Knockout!I82=Knockout!$A$82),$H$5,0)</f>
        <v>0</v>
      </c>
      <c r="I15" s="11">
        <f t="shared" si="0"/>
        <v>0</v>
      </c>
      <c r="J15" s="28">
        <f t="shared" si="1"/>
        <v>0</v>
      </c>
      <c r="K15" s="28">
        <f t="shared" si="2"/>
        <v>1</v>
      </c>
    </row>
    <row r="17" spans="1:1" ht="15" customHeight="1" x14ac:dyDescent="0.2">
      <c r="A17" s="29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Start Here</vt:lpstr>
      <vt:lpstr>Setup</vt:lpstr>
      <vt:lpstr>Group Stage</vt:lpstr>
      <vt:lpstr>Knockout</vt:lpstr>
      <vt:lpstr>Leaderboard</vt:lpstr>
      <vt:lpstr>'Group Stage'!Print_Area</vt:lpstr>
      <vt:lpstr>Knockout!Print_Area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Nils Erland Haugen</cp:lastModifiedBy>
  <cp:revision>0</cp:revision>
  <dcterms:created xsi:type="dcterms:W3CDTF">2026-06-05T17:07:03Z</dcterms:created>
  <dcterms:modified xsi:type="dcterms:W3CDTF">2026-06-05T17:36:53Z</dcterms:modified>
  <dc:language>en-US</dc:language>
</cp:coreProperties>
</file>